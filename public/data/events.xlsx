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G:\world_map_project\world-map-news-app\public\data\"/>
    </mc:Choice>
  </mc:AlternateContent>
  <xr:revisionPtr revIDLastSave="0" documentId="13_ncr:1_{808D32C4-E5DA-4D4C-B7B7-F8C22E7F40C6}" xr6:coauthVersionLast="47" xr6:coauthVersionMax="47" xr10:uidLastSave="{00000000-0000-0000-0000-000000000000}"/>
  <bookViews>
    <workbookView xWindow="-108" yWindow="-108" windowWidth="23256" windowHeight="12456" xr2:uid="{17EB953A-2661-4049-9616-0D3098A3DA36}"/>
  </bookViews>
  <sheets>
    <sheet name="events-入力用" sheetId="1" r:id="rId1"/>
    <sheet name="リスト" sheetId="2" r:id="rId2"/>
  </sheets>
  <externalReferences>
    <externalReference r:id="rId3"/>
  </externalReferences>
  <definedNames>
    <definedName name="_xlnm._FilterDatabase" localSheetId="0" hidden="1">'events-入力用'!$A$1:$V$1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7" i="1" l="1"/>
  <c r="O46" i="1"/>
  <c r="N46" i="1"/>
  <c r="M46" i="1"/>
  <c r="O45" i="1"/>
  <c r="N45" i="1"/>
  <c r="M45" i="1"/>
  <c r="O44" i="1"/>
  <c r="N44" i="1"/>
  <c r="M44" i="1"/>
  <c r="O43" i="1"/>
  <c r="N43" i="1"/>
  <c r="M43" i="1"/>
  <c r="O42" i="1"/>
  <c r="N42" i="1"/>
  <c r="M42" i="1"/>
  <c r="O41" i="1"/>
  <c r="N41" i="1"/>
  <c r="M41" i="1"/>
  <c r="O40" i="1"/>
  <c r="N40" i="1"/>
  <c r="M40" i="1"/>
  <c r="O39" i="1"/>
  <c r="N39" i="1"/>
  <c r="M39" i="1"/>
  <c r="O38" i="1"/>
  <c r="N38" i="1"/>
  <c r="M38" i="1"/>
  <c r="O37" i="1"/>
  <c r="N37" i="1"/>
  <c r="M37" i="1"/>
  <c r="O36" i="1"/>
  <c r="N36" i="1"/>
  <c r="M36" i="1"/>
  <c r="O35" i="1"/>
  <c r="N35" i="1"/>
  <c r="M35" i="1"/>
  <c r="O34" i="1"/>
  <c r="N34" i="1"/>
  <c r="M34" i="1"/>
  <c r="O33" i="1"/>
  <c r="N33" i="1"/>
  <c r="M33" i="1"/>
  <c r="O32" i="1"/>
  <c r="N32" i="1"/>
  <c r="M32" i="1"/>
  <c r="O31" i="1"/>
  <c r="N31" i="1"/>
  <c r="M31" i="1"/>
  <c r="O30" i="1"/>
  <c r="N30" i="1"/>
  <c r="M30" i="1"/>
  <c r="O29" i="1"/>
  <c r="N29" i="1"/>
  <c r="M29" i="1"/>
  <c r="O28" i="1"/>
  <c r="N28" i="1"/>
  <c r="M28" i="1"/>
  <c r="O27" i="1"/>
  <c r="N27" i="1"/>
  <c r="M27" i="1"/>
  <c r="O26" i="1"/>
  <c r="N26" i="1"/>
  <c r="M26" i="1"/>
  <c r="O25" i="1"/>
  <c r="N25" i="1"/>
  <c r="M25" i="1"/>
  <c r="O24" i="1"/>
  <c r="N24" i="1"/>
  <c r="M24" i="1"/>
  <c r="O23" i="1"/>
  <c r="N23" i="1"/>
  <c r="M23" i="1"/>
  <c r="O22" i="1"/>
  <c r="N22" i="1"/>
  <c r="M22" i="1"/>
  <c r="O21" i="1"/>
  <c r="N21" i="1"/>
  <c r="M21" i="1"/>
  <c r="O11" i="1"/>
  <c r="N11" i="1"/>
  <c r="M11" i="1"/>
  <c r="O17" i="1"/>
  <c r="N17" i="1"/>
  <c r="M17" i="1"/>
  <c r="O6" i="1"/>
  <c r="N6" i="1"/>
  <c r="M6" i="1"/>
  <c r="O10" i="1"/>
  <c r="N10" i="1"/>
  <c r="M10" i="1"/>
  <c r="O9" i="1"/>
  <c r="N9" i="1"/>
  <c r="M9" i="1"/>
  <c r="O16" i="1"/>
  <c r="N16" i="1"/>
  <c r="M16" i="1"/>
  <c r="O5" i="1"/>
  <c r="N5" i="1"/>
  <c r="M5" i="1"/>
  <c r="O3" i="1"/>
  <c r="N3" i="1"/>
  <c r="M3" i="1"/>
  <c r="O4" i="1"/>
  <c r="N4" i="1"/>
  <c r="M4" i="1"/>
  <c r="O15" i="1"/>
  <c r="N15" i="1"/>
  <c r="M15" i="1"/>
  <c r="O14" i="1"/>
  <c r="N14" i="1"/>
  <c r="M14" i="1"/>
  <c r="O20" i="1"/>
  <c r="N20" i="1"/>
  <c r="M20" i="1"/>
  <c r="O19" i="1"/>
  <c r="N19" i="1"/>
  <c r="M19" i="1"/>
  <c r="O2" i="1"/>
  <c r="N2" i="1"/>
  <c r="M2" i="1"/>
  <c r="O8" i="1"/>
  <c r="N8" i="1"/>
  <c r="M8" i="1"/>
  <c r="O7" i="1"/>
  <c r="N7" i="1"/>
  <c r="O13" i="1"/>
  <c r="N13" i="1"/>
  <c r="M13" i="1"/>
  <c r="O12" i="1"/>
  <c r="N12" i="1"/>
  <c r="M12" i="1"/>
  <c r="O18" i="1"/>
  <c r="N18" i="1"/>
  <c r="M18" i="1"/>
  <c r="B36" i="1"/>
  <c r="B35" i="1"/>
  <c r="B34" i="1"/>
  <c r="B33" i="1"/>
  <c r="B32" i="1"/>
  <c r="B31" i="1"/>
  <c r="B30" i="1"/>
  <c r="B29" i="1"/>
  <c r="B28" i="1"/>
  <c r="B27" i="1"/>
  <c r="B26" i="1"/>
  <c r="B25" i="1"/>
  <c r="B24" i="1"/>
  <c r="B23" i="1"/>
  <c r="B22" i="1"/>
  <c r="B21" i="1"/>
  <c r="B11" i="1"/>
  <c r="B17" i="1"/>
  <c r="B6" i="1"/>
  <c r="B10" i="1"/>
  <c r="B9" i="1"/>
  <c r="B16" i="1"/>
  <c r="B5" i="1"/>
  <c r="B3" i="1"/>
  <c r="B4" i="1"/>
  <c r="B15" i="1"/>
  <c r="B14" i="1"/>
  <c r="B20" i="1"/>
  <c r="B19" i="1"/>
  <c r="B2" i="1"/>
  <c r="B8" i="1"/>
  <c r="B7" i="1"/>
  <c r="B13" i="1"/>
  <c r="B12" i="1"/>
  <c r="B18" i="1"/>
  <c r="A40" i="1"/>
  <c r="A39" i="1"/>
  <c r="A38" i="1"/>
  <c r="A37" i="1"/>
  <c r="A36" i="1"/>
  <c r="A35" i="1"/>
  <c r="A34" i="1"/>
  <c r="A33" i="1"/>
  <c r="A32" i="1"/>
  <c r="A31" i="1"/>
  <c r="A30" i="1"/>
  <c r="A29" i="1"/>
  <c r="A28" i="1"/>
  <c r="A27" i="1"/>
  <c r="A26" i="1"/>
  <c r="A25" i="1"/>
  <c r="A24" i="1"/>
  <c r="A23" i="1"/>
  <c r="A22" i="1"/>
  <c r="A21" i="1"/>
  <c r="A11" i="1"/>
  <c r="A17" i="1"/>
  <c r="A6" i="1"/>
  <c r="A10" i="1"/>
  <c r="A9" i="1"/>
  <c r="A16" i="1"/>
  <c r="A5" i="1"/>
  <c r="A3" i="1"/>
  <c r="A4" i="1"/>
  <c r="A15" i="1"/>
  <c r="A14" i="1"/>
  <c r="A20" i="1"/>
  <c r="A19" i="1"/>
  <c r="A2" i="1"/>
  <c r="A8" i="1"/>
  <c r="A7" i="1"/>
  <c r="A13" i="1"/>
  <c r="A12" i="1"/>
  <c r="A18" i="1"/>
  <c r="P34" i="1" l="1"/>
  <c r="P41" i="1"/>
  <c r="P6" i="1"/>
  <c r="P4" i="1"/>
  <c r="P37" i="1"/>
  <c r="P13" i="1"/>
  <c r="P15" i="1"/>
  <c r="P25" i="1"/>
  <c r="P33" i="1"/>
  <c r="P17" i="1"/>
  <c r="P27" i="1"/>
  <c r="P35" i="1"/>
  <c r="P43" i="1"/>
  <c r="P5" i="1"/>
  <c r="P28" i="1"/>
  <c r="P36" i="1"/>
  <c r="P19" i="1"/>
  <c r="P22" i="1"/>
  <c r="P30" i="1"/>
  <c r="P42" i="1"/>
  <c r="P2" i="1"/>
  <c r="P21" i="1"/>
  <c r="P29" i="1"/>
  <c r="P45" i="1"/>
  <c r="P46" i="1"/>
  <c r="P12" i="1"/>
  <c r="P10" i="1"/>
  <c r="P24" i="1"/>
  <c r="P40" i="1"/>
  <c r="P8" i="1"/>
  <c r="P3" i="1"/>
  <c r="P26" i="1"/>
  <c r="P11" i="1"/>
  <c r="P44" i="1"/>
  <c r="P7" i="1"/>
  <c r="P32" i="1"/>
  <c r="P16" i="1"/>
  <c r="P38" i="1"/>
  <c r="P14" i="1"/>
  <c r="P18" i="1"/>
  <c r="P20" i="1"/>
  <c r="P9" i="1"/>
  <c r="P23" i="1"/>
  <c r="P31" i="1"/>
  <c r="P39" i="1"/>
</calcChain>
</file>

<file path=xl/sharedStrings.xml><?xml version="1.0" encoding="utf-8"?>
<sst xmlns="http://schemas.openxmlformats.org/spreadsheetml/2006/main" count="296" uniqueCount="230">
  <si>
    <t>country_iso3</t>
  </si>
  <si>
    <t>country_name</t>
  </si>
  <si>
    <t>country_name_ja</t>
  </si>
  <si>
    <t>title</t>
  </si>
  <si>
    <t>summary</t>
  </si>
  <si>
    <t>detail</t>
  </si>
  <si>
    <t>関係国１</t>
  </si>
  <si>
    <t>関係国２</t>
  </si>
  <si>
    <t>関係国３</t>
  </si>
  <si>
    <t>related_country_1</t>
  </si>
  <si>
    <t>related_country_2</t>
  </si>
  <si>
    <t>related_country_3</t>
  </si>
  <si>
    <t>related_countries</t>
  </si>
  <si>
    <t>impact_summary</t>
  </si>
  <si>
    <t>category</t>
  </si>
  <si>
    <t>event_date</t>
  </si>
  <si>
    <t>source_name</t>
  </si>
  <si>
    <t>source_url</t>
  </si>
  <si>
    <t>importance</t>
  </si>
  <si>
    <t>軍事</t>
  </si>
  <si>
    <t>貿易</t>
  </si>
  <si>
    <t>外交</t>
  </si>
  <si>
    <t>紛争</t>
  </si>
  <si>
    <t>安全保障</t>
  </si>
  <si>
    <t>国内政治</t>
  </si>
  <si>
    <t>その他</t>
  </si>
  <si>
    <t>国際関係に影響</t>
  </si>
  <si>
    <t>安全保障に影響</t>
  </si>
  <si>
    <t>経済に影響</t>
  </si>
  <si>
    <t>エネルギー市場に影響</t>
  </si>
  <si>
    <t>貿易に影響</t>
  </si>
  <si>
    <t>金融市場に影響</t>
  </si>
  <si>
    <t>軍事的緊張が高まる</t>
  </si>
  <si>
    <t>外交関係が悪化</t>
  </si>
  <si>
    <t>外交関係が改善</t>
  </si>
  <si>
    <t>地域情勢が不安定化</t>
  </si>
  <si>
    <t>地域情勢が安定化</t>
  </si>
  <si>
    <t>制裁強化</t>
  </si>
  <si>
    <t>制裁緩和</t>
  </si>
  <si>
    <t>サプライチェーンに影響</t>
  </si>
  <si>
    <t>国内政治に影響</t>
  </si>
  <si>
    <t>人道問題に影響</t>
  </si>
  <si>
    <t>不明</t>
  </si>
  <si>
    <t>経済</t>
  </si>
  <si>
    <t>エネルギー</t>
  </si>
  <si>
    <t>制裁</t>
  </si>
  <si>
    <t>首脳会談</t>
  </si>
  <si>
    <t>金融</t>
  </si>
  <si>
    <t>人道</t>
  </si>
  <si>
    <t>テクノロジー</t>
  </si>
  <si>
    <t>サイバー</t>
  </si>
  <si>
    <t>background</t>
    <phoneticPr fontId="18"/>
  </si>
  <si>
    <t>impact</t>
    <phoneticPr fontId="18"/>
  </si>
  <si>
    <t>future</t>
    <phoneticPr fontId="18"/>
  </si>
  <si>
    <t>Bloomberg</t>
    <phoneticPr fontId="18"/>
  </si>
  <si>
    <t>https://www.bloomberg.com/news/articles/2026-04-26/alleged-shooter-at-white-house-press-event-in-custody?srnd=homepage-americas</t>
  </si>
  <si>
    <t>アメリカ</t>
    <phoneticPr fontId="18"/>
  </si>
  <si>
    <t>ホワイトハウス晩餐会でのテロ事件</t>
    <rPh sb="7" eb="10">
      <t>バンサンカイ</t>
    </rPh>
    <rPh sb="14" eb="16">
      <t>ジケン</t>
    </rPh>
    <phoneticPr fontId="18"/>
  </si>
  <si>
    <t>ホワイトハウスにて開かれた晩餐会で発砲があり、トランプ大統領やバンス副大統領らが避難。容疑者は拘束され、連邦高官にけがは確認されていない。</t>
    <rPh sb="9" eb="10">
      <t>ヒラ</t>
    </rPh>
    <rPh sb="13" eb="16">
      <t>バンサンカイ</t>
    </rPh>
    <phoneticPr fontId="18"/>
  </si>
  <si>
    <t>晩餐会は政権幹部や記者が集まる恒例行事。過去にもトランプ大統領を狙った事件があり、警備体制への関心が高まっていた。</t>
    <rPh sb="0" eb="3">
      <t>バンサンカイ</t>
    </rPh>
    <phoneticPr fontId="18"/>
  </si>
  <si>
    <t>アメリカでは政治暴力への警戒がさらに強まり、選挙や政府行事の運営に影響する可能性がある。日本にとっても同盟国の政治安定は安全保障や市場心理に関わり、米政権の対外政策が停滞しないか注視が必要だ。</t>
    <phoneticPr fontId="18"/>
  </si>
  <si>
    <t>捜査当局は動機や単独犯かを確認する見通し。大統領関連行事の警備強化や政治集会の安全対策が焦点になる。</t>
    <phoneticPr fontId="18"/>
  </si>
  <si>
    <t>アメリカとイランの停戦協議が中止に</t>
    <rPh sb="9" eb="13">
      <t>テイセンキョウギ</t>
    </rPh>
    <rPh sb="14" eb="16">
      <t>チュウシ</t>
    </rPh>
    <phoneticPr fontId="18"/>
  </si>
  <si>
    <t>イラン</t>
    <phoneticPr fontId="18"/>
  </si>
  <si>
    <t>https://www.bloomberg.com/news/articles/2026-04-25/trump-cancels-envoys-pakistan-trip-for-iran-talks-fox-reports?srnd=homepage-americas</t>
  </si>
  <si>
    <t>トランプ大統領はイラン紛争をめぐる協議のためパキスタンへ向かう予定だった特使の派遣を取りやめたと発表。停戦の先行きに不透明感が広がっている。</t>
    <rPh sb="48" eb="50">
      <t>ハッピョウ</t>
    </rPh>
    <phoneticPr fontId="18"/>
  </si>
  <si>
    <t>米国とイランの対立では、パキスタンが仲介役となり協議継続を探っていた。だが双方の条件には隔たりが残る。</t>
    <phoneticPr fontId="18"/>
  </si>
  <si>
    <t>今後はイラン側が直接協議に応じるか、停戦が維持されるかが焦点となる。交渉停滞が軍事的緊張を再び高めるおそれもある。</t>
    <phoneticPr fontId="18"/>
  </si>
  <si>
    <t>パキスタン</t>
    <phoneticPr fontId="18"/>
  </si>
  <si>
    <t>アメリカとイラン協議の停滞は、中東の安全保障だけでなく原油輸送やエネルギー価格にも影響する。ホルムズ海峡周辺の緊張が続けば、日本にとっても燃料価格や企業活動への負担が増す要因になり得る。</t>
    <phoneticPr fontId="18"/>
  </si>
  <si>
    <t>米共和党の進める選挙区再編計画が失敗する</t>
    <rPh sb="0" eb="4">
      <t>ベイキョウワトウ</t>
    </rPh>
    <rPh sb="5" eb="6">
      <t>スス</t>
    </rPh>
    <rPh sb="8" eb="13">
      <t>センキョクサイヘン</t>
    </rPh>
    <rPh sb="13" eb="15">
      <t>ケイカク</t>
    </rPh>
    <rPh sb="16" eb="18">
      <t>シッパイ</t>
    </rPh>
    <phoneticPr fontId="18"/>
  </si>
  <si>
    <t>https://www.bloomberg.com/news/articles/2026-04-25/trump-s-war-redistricting-setbacks-fan-republican-midterm-angst?srnd=phx-politics</t>
  </si>
  <si>
    <t>11月の中間選挙に向けた選挙区再編計画が失敗し、共和党内の中間選挙不安を強めていると報じられる。支持率低下や物価高への不満も重なり、接戦区の候補者に逆風となっている。</t>
    <rPh sb="2" eb="3">
      <t>ガツ</t>
    </rPh>
    <rPh sb="4" eb="8">
      <t>チュウカンセンキョ</t>
    </rPh>
    <rPh sb="9" eb="10">
      <t>ム</t>
    </rPh>
    <rPh sb="17" eb="19">
      <t>ケイカク</t>
    </rPh>
    <rPh sb="20" eb="22">
      <t>シッパイ</t>
    </rPh>
    <phoneticPr fontId="18"/>
  </si>
  <si>
    <t>アメリカでは中間選挙で政権与党が議席を減らしやすい。今回は区割り争いとイラン情勢、経済不安が同時に重なっている。</t>
    <rPh sb="11" eb="13">
      <t>セイケン</t>
    </rPh>
    <phoneticPr fontId="18"/>
  </si>
  <si>
    <t>共和党がトランプ大統領の政策を前面に押し出すのか、地域課題や経済政策に軸足を移すのかが焦点となる。民主党は接戦区で攻勢を強める見通しだ。</t>
    <rPh sb="12" eb="14">
      <t>セイサク</t>
    </rPh>
    <rPh sb="18" eb="19">
      <t>オ</t>
    </rPh>
    <phoneticPr fontId="18"/>
  </si>
  <si>
    <t>アメリカ議会の勢力図が変われば、ウクライナ支援や対中政策、関税、エネルギー政策の進め方にも影響する。日本にとっては、米国の同盟政策や通商方針の揺れが安全保障や企業活動の不確実性を高める要因になる。</t>
    <phoneticPr fontId="18"/>
  </si>
  <si>
    <t>https://www.bloomberg.com/news/articles/2026-04-25/us-says-it-intercepted-iran-linked-vessel-in-arabian-sea?srnd=phx-politics</t>
  </si>
  <si>
    <t>米軍はアラビア海でイランのエネルギー輸出に関わる船舶の航行を阻止。同船は米軍の指示に従いイランへ戻っている。</t>
    <rPh sb="24" eb="26">
      <t>センパク</t>
    </rPh>
    <rPh sb="27" eb="29">
      <t>コウコウ</t>
    </rPh>
    <rPh sb="30" eb="32">
      <t>ソシ</t>
    </rPh>
    <phoneticPr fontId="18"/>
  </si>
  <si>
    <t>米軍がアラビア海でイラン関係船舶の航行を阻止</t>
    <rPh sb="0" eb="2">
      <t>ベイグン</t>
    </rPh>
    <rPh sb="7" eb="8">
      <t>カイ</t>
    </rPh>
    <rPh sb="12" eb="16">
      <t>カンケイセンパク</t>
    </rPh>
    <rPh sb="17" eb="19">
      <t>コウコウ</t>
    </rPh>
    <rPh sb="20" eb="22">
      <t>ソシ</t>
    </rPh>
    <phoneticPr fontId="18"/>
  </si>
  <si>
    <t>アメリカはイランの資金源を弱めるため、石油やガスを運ぶ「影の船団」への制裁と海上封鎖を強めている。</t>
    <phoneticPr fontId="18"/>
  </si>
  <si>
    <t>イランが海上で対抗措置を取るか、ホルムズ海峡周辺の船舶運航がさらに滞るかが焦点となる。</t>
    <phoneticPr fontId="18"/>
  </si>
  <si>
    <t>アラビア海やホルムズ海峡周辺の緊張は、原油やガスの輸送不安を高める。日本は中東へのエネルギー依存が大きく、航行リスクや保険料の上昇が燃料価格、物流、企業収益に波及するおそれがある。</t>
    <phoneticPr fontId="18"/>
  </si>
  <si>
    <t>中国</t>
    <rPh sb="0" eb="2">
      <t>チュウゴク</t>
    </rPh>
    <phoneticPr fontId="18"/>
  </si>
  <si>
    <t>中国外相のミャンマー訪問</t>
    <rPh sb="0" eb="4">
      <t>チュウゴクガイショウ</t>
    </rPh>
    <rPh sb="10" eb="12">
      <t>ホウモン</t>
    </rPh>
    <phoneticPr fontId="18"/>
  </si>
  <si>
    <t>ミャンマー</t>
    <phoneticPr fontId="18"/>
  </si>
  <si>
    <t>https://www.bloomberg.com/news/articles/2026-04-25/china-s-wang-yi-discusses-reopening-border-trade-with-myanmar?srnd=phx-politics</t>
  </si>
  <si>
    <t>中国の王毅外相はミャンマーの首都ネピドーでミンアウンフライン大統領と会談し、国境貿易の再開やエネルギー、鉱業での協力を協議した。オンライン詐欺対策や農業、技術協力も議題となった。</t>
    <phoneticPr fontId="18"/>
  </si>
  <si>
    <t>ミャンマーは2021年のクーデター後、内戦と経済低迷が続く。中国は国境安定と資源確保を重視している。</t>
    <phoneticPr fontId="18"/>
  </si>
  <si>
    <t>国境地帯の戦闘が収まるか、貿易再開が実際に進むかが焦点となる。少数民族武装勢力との停戦維持も重要だ。</t>
    <phoneticPr fontId="18"/>
  </si>
  <si>
    <t>中国とミャンマーの国境安定化は、中国の資源調達や東南アジアの物流に関わる。鉱物やエネルギーの流れが回復すれば供給不安は和らぐが、軍政への接近が進めば欧米や東南アジア諸国との外交摩擦も強まり得る。日本企業にとっては調達網の見直し材料となる。</t>
    <rPh sb="0" eb="2">
      <t>チュウゴク</t>
    </rPh>
    <rPh sb="13" eb="14">
      <t>カ</t>
    </rPh>
    <phoneticPr fontId="18"/>
  </si>
  <si>
    <t>フランス</t>
    <phoneticPr fontId="18"/>
  </si>
  <si>
    <t>フランスとギリシャが防衛協定を更新する</t>
    <rPh sb="15" eb="17">
      <t>コウシン</t>
    </rPh>
    <phoneticPr fontId="18"/>
  </si>
  <si>
    <t>https://www.bloomberg.com/news/articles/2026-04-25/france-and-greece-renew-defense-pact-deepening-military-ties?srnd=phx-politics</t>
  </si>
  <si>
    <t>フランスのマクロン大統領とギリシャのミツォタキス首相は、2021年に結んだ防衛協定を5年間延長した。相互防衛に加え、エネルギーや科学技術など幅広い協力も確認した。</t>
    <phoneticPr fontId="18"/>
  </si>
  <si>
    <t>欧州では米国の関与への不安や中東緊張を受け、自前の防衛力を高める動きが強まっている。</t>
    <phoneticPr fontId="18"/>
  </si>
  <si>
    <t>両国の協力が欧州連合の防衛体制強化につながるかが焦点となる。東地中海や海上交通の安全確保も注目される。</t>
    <phoneticPr fontId="18"/>
  </si>
  <si>
    <t>ギリシャ</t>
    <phoneticPr fontId="18"/>
  </si>
  <si>
    <t>フランスとギリシャの連携強化は、欧州が米国だけに頼らず安全保障を支える流れを示す。東地中海やホルムズ海峡をめぐる議論にも関わり、エネルギー輸送の安定は日本の燃料価格や物流にも影響し得る。</t>
    <phoneticPr fontId="18"/>
  </si>
  <si>
    <t>マリ</t>
    <phoneticPr fontId="18"/>
  </si>
  <si>
    <t>反政府勢力がマリの首都を攻撃</t>
    <rPh sb="0" eb="5">
      <t>ハンセイフセイリョク</t>
    </rPh>
    <rPh sb="9" eb="11">
      <t>シュト</t>
    </rPh>
    <rPh sb="12" eb="14">
      <t>コウゲキ</t>
    </rPh>
    <phoneticPr fontId="18"/>
  </si>
  <si>
    <t>首都バマコ近郊のカティ基地のほか、中部や北部の複数地点が武装集団に同時攻撃されたと発表される。国際空港周辺でも銃撃があり、軍は攻撃側と交戦した。</t>
    <phoneticPr fontId="18"/>
  </si>
  <si>
    <t>マリでは2012年以降、イスラム過激派やトゥアレグ系勢力との紛争が続く。軍政はロシア系部隊の支援で治安回復を進めてきた。</t>
    <phoneticPr fontId="18"/>
  </si>
  <si>
    <t>攻撃が一時的な示威行動にとどまるか、首都や北部支配を揺さぶる長期戦に広がるかが焦点となる。</t>
    <phoneticPr fontId="18"/>
  </si>
  <si>
    <t>マリの不安定化は、西アフリカのサヘル地域全体に過激派の活動を広げるおそれがある。金や物流の流れにも影響し、欧州への移民圧力や対テロ協力の負担が増す。</t>
    <phoneticPr fontId="18"/>
  </si>
  <si>
    <t>https://www.bloomberg.com/news/articles/2026-04-25/military-sites-in-mali-attacked-by-armed-groups-army-says?srnd=phx-politics</t>
  </si>
  <si>
    <t>米財務省は4月24日、中国の恒力石化大連製油所を制裁対象に加えた。イラン産石油を大量に購入し、イランの収入源を支えたとして、関連する船舶や海運会社約40件も対象にした。</t>
    <phoneticPr fontId="18"/>
  </si>
  <si>
    <t>アメリカが中国大手石油企業へ制裁を課す</t>
    <rPh sb="5" eb="7">
      <t>チュウゴク</t>
    </rPh>
    <rPh sb="7" eb="9">
      <t>オオテ</t>
    </rPh>
    <rPh sb="9" eb="13">
      <t>セキユキギョウ</t>
    </rPh>
    <rPh sb="14" eb="16">
      <t>セイサイ</t>
    </rPh>
    <rPh sb="17" eb="18">
      <t>カ</t>
    </rPh>
    <phoneticPr fontId="18"/>
  </si>
  <si>
    <t>米国はイランの石油収入が軍事活動を支えるとみて、制裁逃れに使われる船舶網への圧力を強めている。</t>
    <phoneticPr fontId="18"/>
  </si>
  <si>
    <t>焦点は、中国企業や銀行への制裁がさらに広がるか、米イラン協議と米中関係にどこまで影響するかと推察される。</t>
    <rPh sb="46" eb="48">
      <t>スイサツ</t>
    </rPh>
    <phoneticPr fontId="18"/>
  </si>
  <si>
    <t>制裁強化はイランの資金調達を抑える一方、中国の石油調達や米中関係を揺らす要因になる。中東産原油の流れが不安定になれば、国際原油価格や海上保険料が上がり、日本の燃料費や企業物流にも影響が及ぶおそれがある。</t>
    <phoneticPr fontId="18"/>
  </si>
  <si>
    <t>イギリス</t>
    <phoneticPr fontId="18"/>
  </si>
  <si>
    <t>イギリスにて安楽死法案が否決される</t>
    <rPh sb="6" eb="11">
      <t>アンラクシホウアン</t>
    </rPh>
    <rPh sb="12" eb="14">
      <t>ヒケツ</t>
    </rPh>
    <phoneticPr fontId="18"/>
  </si>
  <si>
    <t>https://www.bloomberg.com/news/articles/2026-04-24/us-sanctions-china-refinery-iran-shadow-fleet-ahead-of-talks?srnd=phx-politics</t>
    <phoneticPr fontId="18"/>
  </si>
  <si>
    <t>イギリスで終末期の成人に自死の医療支援を認める法案が、上院での審議時間が尽きたことで成立せず。反対派が多数の修正案を出し、採決に進まなかった。</t>
    <rPh sb="42" eb="44">
      <t>セイリツ</t>
    </rPh>
    <rPh sb="64" eb="65">
      <t>スス</t>
    </rPh>
    <phoneticPr fontId="18"/>
  </si>
  <si>
    <t>イギリスでは、終末期医療の選択を広げるべきだとの声と、弱い立場の人を守る制度が不十分だとの懸念が対立してきた。</t>
    <phoneticPr fontId="18"/>
  </si>
  <si>
    <t>支持派は次の会期で法案を再提出する構え。焦点は安全対策をどう強め、上院の手続き上の抵抗を乗り越えられるかにある。</t>
    <phoneticPr fontId="18"/>
  </si>
  <si>
    <t>法案の失敗は、イギリスにおけるで死の選択をめぐる社会的議論が続くことを意味する。医療倫理や高齢者福祉、障害者保護のあり方にも影響すると思われる</t>
    <rPh sb="67" eb="68">
      <t>オモ</t>
    </rPh>
    <phoneticPr fontId="18"/>
  </si>
  <si>
    <t>https://www.bloomberg.com/news/articles/2026-04-24/uk-s-assisted-dying-bill-fails-after-parliamentary-time-runs-out?srnd=phx-politics</t>
  </si>
  <si>
    <t>ウクライナ</t>
    <phoneticPr fontId="18"/>
  </si>
  <si>
    <t>ロシアとウクライナが捕虜193名の交換を実施</t>
    <rPh sb="10" eb="12">
      <t>ホリョ</t>
    </rPh>
    <rPh sb="15" eb="16">
      <t>メイ</t>
    </rPh>
    <rPh sb="17" eb="19">
      <t>コウカン</t>
    </rPh>
    <rPh sb="20" eb="22">
      <t>ジッシ</t>
    </rPh>
    <phoneticPr fontId="18"/>
  </si>
  <si>
    <t>https://www.bloomberg.com/news/articles/2026-04-24/russia-and-ukraine-exchange-193-prisoners-each-in-latest-swap?srnd=phx-politics</t>
  </si>
  <si>
    <t>ロシアとウクライナは捕虜193人の交換を実施した。アメリカとUAEが仲介し、戦闘が続くなかでも人道分野では対話の余地が残っていることを示した。</t>
    <rPh sb="17" eb="19">
      <t>コウカン</t>
    </rPh>
    <rPh sb="20" eb="22">
      <t>ジッシ</t>
    </rPh>
    <phoneticPr fontId="18"/>
  </si>
  <si>
    <t>ロシアの侵攻開始後、停戦交渉は難航しているが、捕虜交換は両国が続ける数少ない実務協議の一つとなっている。</t>
    <phoneticPr fontId="18"/>
  </si>
  <si>
    <t>今後は同様の交換が続くか、停戦や和平協議につながる信頼づくりになるかが焦点となる。戦闘拡大で中断するリスクもある。</t>
    <phoneticPr fontId="18"/>
  </si>
  <si>
    <t>ロシア</t>
    <phoneticPr fontId="18"/>
  </si>
  <si>
    <t>捕虜交換は戦争終結を意味しないが、アメリカやUAEの仲介が機能している点は重要と言える。対話の窓口が保たれれば、欧州の安全保障やエネルギー市場の不安を和らげる材料になる。</t>
    <rPh sb="40" eb="41">
      <t>イ</t>
    </rPh>
    <phoneticPr fontId="18"/>
  </si>
  <si>
    <t>https://www.reuters.com/world/asia-pacific/qatar-emir-trump-discuss-washington-tehran-ceasefire-2026-04-24/</t>
  </si>
  <si>
    <t>カタール</t>
    <phoneticPr fontId="18"/>
  </si>
  <si>
    <t>Reuters</t>
    <phoneticPr fontId="18"/>
  </si>
  <si>
    <t>カタールとアメリカ首脳の電話会談</t>
    <rPh sb="9" eb="11">
      <t>シュノウ</t>
    </rPh>
    <rPh sb="12" eb="16">
      <t>デンワカイダン</t>
    </rPh>
    <phoneticPr fontId="18"/>
  </si>
  <si>
    <t>アメリカとイランの停戦合意の進展について協議が行われる。カタールはパキスタン主導の仲介を支えるため、関係国との調整を続ける考えを示した。</t>
    <rPh sb="23" eb="24">
      <t>オコナ</t>
    </rPh>
    <phoneticPr fontId="18"/>
  </si>
  <si>
    <t>カタールは中東でアメリカやイランとの対話ルートを持ち、過去にも紛争の仲介役を担ってきた。</t>
    <phoneticPr fontId="18"/>
  </si>
  <si>
    <t>今後の焦点は、パキスタン主導の仲介がアメリカとイランの直接対話につながるか、停戦をどこまで維持できるかと言える。</t>
    <rPh sb="0" eb="2">
      <t>コンゴ</t>
    </rPh>
    <rPh sb="52" eb="53">
      <t>イ</t>
    </rPh>
    <phoneticPr fontId="18"/>
  </si>
  <si>
    <t>カタールの関与は、中東危機を軍事衝突から外交協議へ戻すうえで重要となる。停戦が保たれれば原油輸送や金融市場の不安は和らぐが、協議が崩れればホルムズ海峡周辺の緊張が再燃する。</t>
    <phoneticPr fontId="18"/>
  </si>
  <si>
    <t>https://www.reuters.com/business/media-telecom/turkey-passes-law-banning-social-media-use-under-15s-2026-04-24/</t>
  </si>
  <si>
    <t>トルコ</t>
    <phoneticPr fontId="18"/>
  </si>
  <si>
    <t>トルコにて15歳未満のSNS利用を禁止する法律が可決される</t>
    <rPh sb="7" eb="10">
      <t>サイミマン</t>
    </rPh>
    <rPh sb="14" eb="16">
      <t>リヨウ</t>
    </rPh>
    <rPh sb="17" eb="19">
      <t>キンシ</t>
    </rPh>
    <rPh sb="21" eb="23">
      <t>ホウリツ</t>
    </rPh>
    <rPh sb="24" eb="26">
      <t>カケツ</t>
    </rPh>
    <phoneticPr fontId="18"/>
  </si>
  <si>
    <t>トルコにて15歳未満の子どもによるSNS利用を禁じる法律が可決された。年齢確認が義務づけられ、ゲーム会社も規制対象に加えられる。</t>
    <phoneticPr fontId="18"/>
  </si>
  <si>
    <t>各国で子どものネット依存や有害情報への接触を防ぐ規制が広がるなか、トルコもSNS等への管理責任を強めた形。</t>
    <rPh sb="40" eb="41">
      <t>ナド</t>
    </rPh>
    <rPh sb="51" eb="52">
      <t>カタチ</t>
    </rPh>
    <phoneticPr fontId="18"/>
  </si>
  <si>
    <t>実効性のある年齢確認を各社が導入できるか否かが焦点。個人情報保護や表現の自由とのバランスも問われる。</t>
    <rPh sb="11" eb="13">
      <t>カクシャ</t>
    </rPh>
    <rPh sb="20" eb="21">
      <t>イナ</t>
    </rPh>
    <rPh sb="23" eb="25">
      <t>ショウテン</t>
    </rPh>
    <phoneticPr fontId="18"/>
  </si>
  <si>
    <t>今回の規制は、子どもの安全を守る一方で、SNSやゲーム企業に大きな対応負担を求める。世界的に未成年のネット利用規制が強まれば、日本でも年齢確認等の議論が進む可能性がある。</t>
    <rPh sb="71" eb="72">
      <t>ナド</t>
    </rPh>
    <phoneticPr fontId="18"/>
  </si>
  <si>
    <t>https://www.reuters.com/world/middle-east/lebanon-seek-ceasefire-extension-us-hosted-talks-with-israel-2026-04-23/</t>
  </si>
  <si>
    <t>イスラエルとレバノンの停戦が3週間延長される</t>
    <rPh sb="11" eb="13">
      <t>テイセン</t>
    </rPh>
    <rPh sb="15" eb="17">
      <t>シュウカン</t>
    </rPh>
    <rPh sb="17" eb="19">
      <t>エンチョウ</t>
    </rPh>
    <phoneticPr fontId="18"/>
  </si>
  <si>
    <t>トランプ大統領は、アメリカの仲介でレバノンとイスラエルが停戦を3週間延長したと発表した。前日にはイスラエル軍の攻撃で記者を含む死者が出ており、南部では未だに衝突が続いている。</t>
    <rPh sb="4" eb="7">
      <t>ダイトウリョウ</t>
    </rPh>
    <rPh sb="75" eb="76">
      <t>イマ</t>
    </rPh>
    <phoneticPr fontId="18"/>
  </si>
  <si>
    <t>レバノン南部ではイスラエル軍とヒズボラの戦闘が続いている。アメリカはレバノン政府を支える姿勢を示し、ヒズボラの武装解除を促している。</t>
    <rPh sb="44" eb="46">
      <t>シセイ</t>
    </rPh>
    <rPh sb="47" eb="48">
      <t>シメ</t>
    </rPh>
    <phoneticPr fontId="18"/>
  </si>
  <si>
    <t>イスラエル軍の撤退や国境協議が進むかが焦点。ヒズボラが直接協議に反発しており、停戦維持はなお不安定といえる。</t>
    <rPh sb="19" eb="21">
      <t>ショウテン</t>
    </rPh>
    <phoneticPr fontId="18"/>
  </si>
  <si>
    <t>レバノン</t>
    <phoneticPr fontId="18"/>
  </si>
  <si>
    <t>イスラエル</t>
    <phoneticPr fontId="18"/>
  </si>
  <si>
    <t>停戦延長は中東紛争の拡大を抑えるよいニュースだが、レバノン南部で攻撃が続けば再燃の可能性は高い。レバノンの安定は難民や海上交通、エネルギー市場にも関わる。</t>
    <rPh sb="7" eb="9">
      <t>フンソウ</t>
    </rPh>
    <rPh sb="10" eb="12">
      <t>カクダイ</t>
    </rPh>
    <rPh sb="13" eb="14">
      <t>オサ</t>
    </rPh>
    <rPh sb="41" eb="44">
      <t>カノウセイ</t>
    </rPh>
    <rPh sb="45" eb="46">
      <t>タカ</t>
    </rPh>
    <phoneticPr fontId="18"/>
  </si>
  <si>
    <t>イランがコンテナ船2隻を拿捕したと発表</t>
    <rPh sb="8" eb="9">
      <t>セン</t>
    </rPh>
    <rPh sb="10" eb="11">
      <t>セキ</t>
    </rPh>
    <rPh sb="12" eb="14">
      <t>ダホ</t>
    </rPh>
    <rPh sb="17" eb="19">
      <t>ハッピョウ</t>
    </rPh>
    <phoneticPr fontId="18"/>
  </si>
  <si>
    <t>https://www.reuters.com/world/europe/three-vessels-hit-by-gunfire-strait-hormuz-crews-safe-2026-04-22/</t>
  </si>
  <si>
    <t>イラン政府は、ホルムズ海峡から湾外へ出ようとしたコンテナ船2隻を拿捕したと発表。別の1隻も銃撃を受けたが航行を続け、各船の乗組員は安全とされる。</t>
    <rPh sb="3" eb="5">
      <t>セイフ</t>
    </rPh>
    <rPh sb="37" eb="39">
      <t>ハッピョウ</t>
    </rPh>
    <phoneticPr fontId="18"/>
  </si>
  <si>
    <t>ホルムズ海峡は世界の石油やガス輸送の要衝で、アメリカとイスラエルとの戦争後、イランは通航制限を強めている。</t>
    <phoneticPr fontId="18"/>
  </si>
  <si>
    <t>拿捕された船と乗組員の解放交渉の進展、革命防衛隊の更なる航行制限、アメリカの海上封鎖との衝突リスクが今後の焦点と言える</t>
    <rPh sb="16" eb="18">
      <t>シンテン</t>
    </rPh>
    <rPh sb="25" eb="26">
      <t>サラ</t>
    </rPh>
    <rPh sb="28" eb="32">
      <t>コウコウセイゲン</t>
    </rPh>
    <rPh sb="50" eb="52">
      <t>コンゴ</t>
    </rPh>
    <rPh sb="53" eb="55">
      <t>ショウテン</t>
    </rPh>
    <rPh sb="56" eb="57">
      <t>イ</t>
    </rPh>
    <phoneticPr fontId="18"/>
  </si>
  <si>
    <t>ホルムズ海峡の不安定化は、原油や液化天然ガスの供給不安を直接高める。通航量が減れば運賃や保険料、燃料価格が上がりやすい。</t>
    <phoneticPr fontId="18"/>
  </si>
  <si>
    <t>ヒズボラが停戦協定違反を理由にイスラエルを攻撃</t>
    <phoneticPr fontId="18"/>
  </si>
  <si>
    <t>https://www.reuters.com/world/middle-east/israel-will-face-resistance-if-troops-stay-in-lebanon-speaker-berri-says-2026-04-21/</t>
  </si>
  <si>
    <t>ヒズボラは、イスラエルが停戦に違反したとしてイスラエル北部へロケット弾や無人機を発射。イスラエル軍は報復として空爆を実施し、南レバノンでの駐留継続とヒズボラ武装解除の方針を示した。</t>
    <rPh sb="50" eb="52">
      <t>ホウフク</t>
    </rPh>
    <rPh sb="55" eb="57">
      <t>クウバク</t>
    </rPh>
    <rPh sb="58" eb="60">
      <t>ジッシ</t>
    </rPh>
    <phoneticPr fontId="18"/>
  </si>
  <si>
    <t>アメリカの仲介による停戦後も、イスラエル軍はレバノン南部の緩衝地帯に駐留している。ヒズボラ側はこれを占領とみなして反発。</t>
    <rPh sb="34" eb="36">
      <t>チュウリュウ</t>
    </rPh>
    <phoneticPr fontId="18"/>
  </si>
  <si>
    <t>アメリカ主導の停戦協議が今後も続くか、イスラエル軍の撤退やヒズボラの武装解除が合意に至るか否かが注目と言える。</t>
    <rPh sb="7" eb="9">
      <t>テイセン</t>
    </rPh>
    <rPh sb="12" eb="14">
      <t>コンゴ</t>
    </rPh>
    <rPh sb="15" eb="16">
      <t>ツヅ</t>
    </rPh>
    <rPh sb="42" eb="43">
      <t>イタ</t>
    </rPh>
    <rPh sb="45" eb="46">
      <t>イナ</t>
    </rPh>
    <rPh sb="48" eb="50">
      <t>チュウモク</t>
    </rPh>
    <rPh sb="51" eb="52">
      <t>イ</t>
    </rPh>
    <phoneticPr fontId="18"/>
  </si>
  <si>
    <t>停戦下での攻撃再開は、イスラエルとレバノンの衝突が再び広がる危険を示す。中東全体の緊張が高まれば、アメリカとイランとの協議や原油市場にも波及しやすい。</t>
    <phoneticPr fontId="18"/>
  </si>
  <si>
    <t>ナイジェリア</t>
    <phoneticPr fontId="18"/>
  </si>
  <si>
    <t>https://www.reuters.com/world/africa/nigerias-president-names-taiwo-oyedele-new-finance-minister-2026-04-21/</t>
  </si>
  <si>
    <t>ナイジェリアにて新たな財務大臣が任命される</t>
    <rPh sb="8" eb="9">
      <t>アラ</t>
    </rPh>
    <rPh sb="11" eb="15">
      <t>ザイムダイジン</t>
    </rPh>
    <rPh sb="16" eb="18">
      <t>ニンメイ</t>
    </rPh>
    <phoneticPr fontId="18"/>
  </si>
  <si>
    <t>ナイジェリアにて小規模な内閣改造が行われ、オイェデレ氏が新たな財務大臣に起用された。同氏はこれまで財務担当国務相を務めていた。</t>
    <rPh sb="17" eb="18">
      <t>オコナ</t>
    </rPh>
    <rPh sb="28" eb="29">
      <t>アラ</t>
    </rPh>
    <rPh sb="33" eb="35">
      <t>ダイジン</t>
    </rPh>
    <rPh sb="36" eb="38">
      <t>キヨウ</t>
    </rPh>
    <rPh sb="42" eb="44">
      <t>ドウシ</t>
    </rPh>
    <phoneticPr fontId="18"/>
  </si>
  <si>
    <t>ナイジェリアは通貨安や物価高、財政改革への不満を抱え、経済運営の立て直しが急務となっている。</t>
    <phoneticPr fontId="18"/>
  </si>
  <si>
    <t>アフリカ最大級の経済規模を持つナイジェリアの財政運営は、原油市場や新興国投資に影響する。改革が進めば投資環境の改善につながるが、物価高対策が遅れれば社会不安が強まり得る。</t>
    <phoneticPr fontId="18"/>
  </si>
  <si>
    <t>ブラジル</t>
    <phoneticPr fontId="18"/>
  </si>
  <si>
    <t>https://www.reuters.com/world/americas/brazil-revokes-credentials-us-immigration-officer-federal-police-chief-says-2026-04-22/</t>
  </si>
  <si>
    <t>ブラジルがアメリカの移民局職員の資格を取り消す</t>
    <rPh sb="10" eb="15">
      <t>イミンキョクショクイン</t>
    </rPh>
    <rPh sb="16" eb="18">
      <t>シカク</t>
    </rPh>
    <rPh sb="19" eb="20">
      <t>ト</t>
    </rPh>
    <rPh sb="21" eb="22">
      <t>ケ</t>
    </rPh>
    <phoneticPr fontId="18"/>
  </si>
  <si>
    <t>ブラジル連邦警察は、アメリカの移民当局者の活動資格を取り消した。アメリカがマイアミ駐在のブラジル治安担当官に退去を求めたことへの対抗措置だとしている。</t>
    <phoneticPr fontId="18"/>
  </si>
  <si>
    <t>アメリカの移民当局が、ボルソナロ元大統領に近い元議員を一時拘束したこともあり、両国の法執行協力に緊張が生じている。</t>
    <phoneticPr fontId="18"/>
  </si>
  <si>
    <t>アメリカがブラジル側の説明要求に応じるか、外交官や治安当局者をめぐる相互措置がさらに広がるかが懸念と言える</t>
    <rPh sb="47" eb="49">
      <t>ケネン</t>
    </rPh>
    <rPh sb="50" eb="51">
      <t>イ</t>
    </rPh>
    <phoneticPr fontId="18"/>
  </si>
  <si>
    <t>アメリカとブラジルの対立は、移民管理や犯罪捜査での情報共有を滞らせるおそれがある。南米最大国との関係悪化は、アメリカの外交や通商にも影響し得る。</t>
    <rPh sb="59" eb="61">
      <t>ガイコウ</t>
    </rPh>
    <phoneticPr fontId="18"/>
  </si>
  <si>
    <t>ロシア議会の議長が北朝鮮を訪問</t>
    <rPh sb="3" eb="5">
      <t>ギカイ</t>
    </rPh>
    <rPh sb="6" eb="8">
      <t>ギチョウ</t>
    </rPh>
    <rPh sb="9" eb="12">
      <t>キタチョウセン</t>
    </rPh>
    <rPh sb="13" eb="15">
      <t>ホウモン</t>
    </rPh>
    <phoneticPr fontId="18"/>
  </si>
  <si>
    <t>北朝鮮</t>
    <rPh sb="0" eb="3">
      <t>キタチョウセン</t>
    </rPh>
    <phoneticPr fontId="18"/>
  </si>
  <si>
    <t>https://www.reuters.com/business/aerospace-defense/russian-parliament-speaker-north-korea-mark-pyongyangs-troop-deployment-ukraine-2026-04-25/</t>
  </si>
  <si>
    <t>ロシア下院のボロジン議長が北朝鮮兵を訪問。北朝鮮はロシア軍を支援するため、推計1万4000人の兵士を送ったとされる。</t>
    <rPh sb="18" eb="20">
      <t>ホウモン</t>
    </rPh>
    <phoneticPr fontId="18"/>
  </si>
  <si>
    <t>ロシアと北朝鮮は2024年に相互防衛を含む条約を結び、外交や軍事の結びつきを急速に強めてきた。</t>
    <phoneticPr fontId="18"/>
  </si>
  <si>
    <t>ロシアと北朝鮮の軍事協力は、ウクライナ戦争の長期化だけでなく、東アジアの安全保障にも直結する。北朝鮮が実戦経験やロシアの技術支援を得れば、ミサイルや通常戦力の脅威が高まるおそれがある。日本にとっては防衛態勢や対露朝制裁の重要性が増す。</t>
    <rPh sb="4" eb="7">
      <t>キタチョウセン</t>
    </rPh>
    <phoneticPr fontId="18"/>
  </si>
  <si>
    <t>https://www.reuters.com/world/asia-pacific/icc-confirms-trial-against-former-philippine-president-duterte-2026-04-23/</t>
    <phoneticPr fontId="18"/>
  </si>
  <si>
    <t>フィリピン</t>
    <phoneticPr fontId="18"/>
  </si>
  <si>
    <t>ドゥテルテ元大統領が殺人罪で正式に訴追へ</t>
    <rPh sb="5" eb="9">
      <t>モトダイトウリョウ</t>
    </rPh>
    <rPh sb="10" eb="13">
      <t>サツジンザイ</t>
    </rPh>
    <rPh sb="14" eb="16">
      <t>セイシキ</t>
    </rPh>
    <rPh sb="17" eb="19">
      <t>ソツイ</t>
    </rPh>
    <phoneticPr fontId="18"/>
  </si>
  <si>
    <t>国際刑事裁判所はフィリピンのドゥテルテ元大統領に対し、人道に対する罪としての殺人容疑で正式裁判に進めると判断した。麻薬犯罪対策を名目に多数の市民が殺害された事件が対象となる。</t>
    <rPh sb="24" eb="25">
      <t>タイ</t>
    </rPh>
    <phoneticPr fontId="18"/>
  </si>
  <si>
    <t>ドゥテルテ氏は大統領就任中、強硬な麻薬取締りを進めた。検察側は国家ぐるみの殺害計画があったと主張している。</t>
    <rPh sb="5" eb="6">
      <t>ウジ</t>
    </rPh>
    <rPh sb="7" eb="10">
      <t>ダイトウリョウ</t>
    </rPh>
    <rPh sb="10" eb="12">
      <t>シュウニン</t>
    </rPh>
    <phoneticPr fontId="18"/>
  </si>
  <si>
    <t>焦点は裁判開始時期と、弁護側が健康状態や管轄権を理由に争い続けるかと言える。</t>
    <rPh sb="34" eb="35">
      <t>イ</t>
    </rPh>
    <phoneticPr fontId="18"/>
  </si>
  <si>
    <t>元首脳が国際法廷で裁かれることは、東南アジアの人権問題や治安政策に大きな意味を持つ。フィリピン国内では支持派と被害者側の対立が続き、マルコス政権の司法協力も問われる。</t>
    <phoneticPr fontId="18"/>
  </si>
  <si>
    <t>韓国</t>
    <rPh sb="0" eb="2">
      <t>カンコク</t>
    </rPh>
    <phoneticPr fontId="18"/>
  </si>
  <si>
    <t>韓国大統領のベトナム訪問</t>
    <rPh sb="0" eb="2">
      <t>カンコク</t>
    </rPh>
    <rPh sb="2" eb="5">
      <t>ダイトウリョウ</t>
    </rPh>
    <rPh sb="10" eb="12">
      <t>ホウモン</t>
    </rPh>
    <phoneticPr fontId="18"/>
  </si>
  <si>
    <t>https://www.reuters.com/world/asia-pacific/south-korea-vietnam-set-sign-dozens-business-deals-lee-visits-hanoi-2026-04-23/</t>
  </si>
  <si>
    <t>韓国の李在明大統領がベトナムを訪問。技術、エネルギー、インフラ分野で73件の事業合意に署名した。液化天然ガス発電やデータセンター、半導体協力も含まれる。</t>
    <rPh sb="18" eb="20">
      <t>ギジュツ</t>
    </rPh>
    <phoneticPr fontId="18"/>
  </si>
  <si>
    <t>韓国はベトナム最大の投資国で、現地工場は輸出の3割超を担う。一方で規制や賃上げで投資環境への不安も残る。</t>
    <rPh sb="30" eb="32">
      <t>イッポウ</t>
    </rPh>
    <rPh sb="49" eb="50">
      <t>ノコ</t>
    </rPh>
    <phoneticPr fontId="18"/>
  </si>
  <si>
    <t>今回の合意が実際の投資に進むかが今後の焦点と言える。原発、半導体、鉄道などの大型案件で韓国企業がどこまで参入できるかが注目される。</t>
    <rPh sb="0" eb="2">
      <t>コンカイ</t>
    </rPh>
    <rPh sb="16" eb="18">
      <t>コンゴ</t>
    </rPh>
    <rPh sb="19" eb="21">
      <t>ショウテン</t>
    </rPh>
    <rPh sb="22" eb="23">
      <t>イ</t>
    </rPh>
    <phoneticPr fontId="18"/>
  </si>
  <si>
    <t>ベトナム</t>
    <phoneticPr fontId="18"/>
  </si>
  <si>
    <t>韓国とベトナムの連携強化は、東南アジアの供給網再編を進める材料となる。半導体やデータセンター投資が進めば中国依存の分散につながる一方、企業間の誘致競争も強まる。</t>
    <phoneticPr fontId="18"/>
  </si>
  <si>
    <t>ドイツ</t>
    <phoneticPr fontId="18"/>
  </si>
  <si>
    <t>ドイツ極右政党「ドイツのための選択肢」が世論調査で支持率過去最高に</t>
    <rPh sb="3" eb="7">
      <t>キョクウセイトウ</t>
    </rPh>
    <rPh sb="15" eb="18">
      <t>センタクシ</t>
    </rPh>
    <rPh sb="20" eb="24">
      <t>ヨロンチョウサ</t>
    </rPh>
    <rPh sb="25" eb="28">
      <t>シジリツ</t>
    </rPh>
    <rPh sb="28" eb="32">
      <t>カコサイコウ</t>
    </rPh>
    <phoneticPr fontId="18"/>
  </si>
  <si>
    <t>極右政党「ドイツのための選択肢」の支持率が過去最高の28％に上がった。メルツ首相率いる保守政党は24％で、同党に4ポイント差をつけられた。</t>
    <rPh sb="0" eb="2">
      <t>キョクウ</t>
    </rPh>
    <phoneticPr fontId="18"/>
  </si>
  <si>
    <t>ドイツでは、移民、物価、治安への不満が強まり、既成政党への不信が右派政党の支持拡大につながっている。</t>
    <phoneticPr fontId="18"/>
  </si>
  <si>
    <t>既成政党がAfDとの協力拒否を続ける場合、政権づくりは三党連立に限られ、政策決定がさらに難しくなる。</t>
    <phoneticPr fontId="18"/>
  </si>
  <si>
    <t>ドイツで右派政党の勢いが強まれば、EUの移民政策、対ウクライナ支援、財政運営に影響する。欧州最大級の経済国の政治不安は市場にも波及し、日本企業にとっても欧州投資や規制対応の見通しを読みにくくする。</t>
    <phoneticPr fontId="18"/>
  </si>
  <si>
    <t>https://www.reuters.com/world/germanys-far-right-afd-rises-record-28-insa-poll-shows-2026-04-25/</t>
  </si>
  <si>
    <t>ゼレンスキー大統領のサウジ訪問</t>
    <rPh sb="6" eb="9">
      <t>ダイトウリョウ</t>
    </rPh>
    <rPh sb="13" eb="15">
      <t>ホウモン</t>
    </rPh>
    <phoneticPr fontId="18"/>
  </si>
  <si>
    <t>https://www.reuters.com/world/middle-east/zelenskiy-arrives-saudi-arabia-seeking-security-cooperation-2026-04-24/</t>
  </si>
  <si>
    <t>ウクライナのゼレンスキー大統領がサウジアラビアを訪問し、ムハンマド皇太子と会談。防衛、エネルギー、食料安全保障で協力を広げることが目指される。</t>
    <rPh sb="65" eb="67">
      <t>メザ</t>
    </rPh>
    <phoneticPr fontId="18"/>
  </si>
  <si>
    <t>ウクライナはロシアの攻撃で培った無人機対策や防空技術を、中東諸国との協力に生かそうとしている。</t>
    <phoneticPr fontId="18"/>
  </si>
  <si>
    <t>3月に締結された防衛協力の枠組みが具体的な契約に進むかが焦点。ホルムズ海峡の航行安全への関与も注目される。</t>
    <rPh sb="3" eb="5">
      <t>テイケツ</t>
    </rPh>
    <rPh sb="28" eb="30">
      <t>ショウテン</t>
    </rPh>
    <phoneticPr fontId="18"/>
  </si>
  <si>
    <t>サウジアラビア</t>
    <phoneticPr fontId="18"/>
  </si>
  <si>
    <t>ウクライナとサウジアラビアの接近は、ロシアとの戦争だけでなく中東の安全保障にも関わる。防空や無人機対策の協力が進めば湾岸諸国の防衛力強化につながる一方、地域の軍拡競争を刺激する面もある。</t>
    <phoneticPr fontId="18"/>
  </si>
  <si>
    <t>米国務省がオランダへのミサイル売却を承認</t>
    <rPh sb="0" eb="4">
      <t>ベイコクムショウ</t>
    </rPh>
    <rPh sb="15" eb="17">
      <t>バイキャク</t>
    </rPh>
    <rPh sb="18" eb="20">
      <t>ショウニン</t>
    </rPh>
    <phoneticPr fontId="18"/>
  </si>
  <si>
    <t>米国務省はオランダへミサイル530発を最大2億ドルで売却する案を承認した。</t>
    <phoneticPr fontId="18"/>
  </si>
  <si>
    <t>欧州ではロシアへの警戒が続き、各国が攻撃用ミサイルや防空装備の調達を急いでいる。</t>
    <phoneticPr fontId="18"/>
  </si>
  <si>
    <t>アメリカ議会の手続きが円滑に進むかと、最終契約の成立可否が焦点。そのほか、オランダ軍が無人機やヘリ運用でどこまで即応力を高めるかも注目される。</t>
    <rPh sb="11" eb="13">
      <t>エンカツ</t>
    </rPh>
    <rPh sb="14" eb="15">
      <t>スス</t>
    </rPh>
    <rPh sb="26" eb="28">
      <t>カヒ</t>
    </rPh>
    <rPh sb="29" eb="31">
      <t>ショウテン</t>
    </rPh>
    <phoneticPr fontId="18"/>
  </si>
  <si>
    <t>オランダ</t>
    <phoneticPr fontId="18"/>
  </si>
  <si>
    <t>オランダのミサイル調達は、欧州が米国製装備を使って対ロシア抑止を強める流れの一部と言える。欧州の防衛需要が増えれば米国の軍需産業は追い風を受ける一方、装備品の供給競争も強まる。</t>
    <rPh sb="41" eb="42">
      <t>イ</t>
    </rPh>
    <phoneticPr fontId="18"/>
  </si>
  <si>
    <t>https://www.reuters.com/business/aerospace-defense/us-approves-potential-200-million-sale-hellfire-missiles-netherlands-2026-04-22/</t>
  </si>
  <si>
    <t>欧州連合</t>
    <rPh sb="0" eb="4">
      <t>オウシュウレンゴウ</t>
    </rPh>
    <phoneticPr fontId="18"/>
  </si>
  <si>
    <t>EUがロシアの2団体へ制裁を課す</t>
    <rPh sb="8" eb="10">
      <t>ダンタイ</t>
    </rPh>
    <rPh sb="11" eb="13">
      <t>セイサイ</t>
    </rPh>
    <rPh sb="14" eb="15">
      <t>カ</t>
    </rPh>
    <phoneticPr fontId="18"/>
  </si>
  <si>
    <t>ロシアの宣伝や偽情報に関わったとして、EUはロシアの2つの団体へ制裁を科した。資産凍結と資金提供禁止が適用される。</t>
    <rPh sb="29" eb="31">
      <t>ダンタイ</t>
    </rPh>
    <phoneticPr fontId="18"/>
  </si>
  <si>
    <t>EUはロシアのプロパガンダで加盟国の世論や選挙を揺さぶっているとみて、関連組織への圧力を強めている。</t>
    <phoneticPr fontId="18"/>
  </si>
  <si>
    <t>ロシア側が別の媒体や団体を通じて発信を続ける懸念が続く。</t>
    <rPh sb="22" eb="24">
      <t>ケネン</t>
    </rPh>
    <rPh sb="25" eb="26">
      <t>ツヅ</t>
    </rPh>
    <phoneticPr fontId="18"/>
  </si>
  <si>
    <t>今回の制裁は、軍事だけでなく情報空間も欧州の安全保障問題になっていることを示す。偽情報対策が強まれば、報道やSNSへの監視も広がる。</t>
    <phoneticPr fontId="18"/>
  </si>
  <si>
    <t>https://www.reuters.com/world/eu-imposes-sanctions-two-russian-entities-it-says-are-linked-disinformation-2026-04-21/</t>
  </si>
  <si>
    <t>日本</t>
    <rPh sb="0" eb="2">
      <t>ニホン</t>
    </rPh>
    <phoneticPr fontId="18"/>
  </si>
  <si>
    <t>日本が防衛産業の輸出規制見直しを発表</t>
    <rPh sb="0" eb="2">
      <t>ニホン</t>
    </rPh>
    <rPh sb="3" eb="7">
      <t>ボウエイサンギョウ</t>
    </rPh>
    <rPh sb="8" eb="12">
      <t>ユシュツキセイ</t>
    </rPh>
    <rPh sb="12" eb="14">
      <t>ミナオ</t>
    </rPh>
    <rPh sb="16" eb="18">
      <t>ハッピョウ</t>
    </rPh>
    <phoneticPr fontId="18"/>
  </si>
  <si>
    <t>日本政府は防衛装備の輸出規則を数十年ぶりに大きく見直し、軍艦やミサイルなどの海外販売に道を開いた。中国を念頭に防衛産業を強め、フィリピンなど友好国との協力を広げる狙いがある。</t>
    <phoneticPr fontId="18"/>
  </si>
  <si>
    <t>日本は戦後、武器輸出を厳しく制限してきたが、中国の軍事拡大や米国の供給力不足を受け、規制緩和に踏み切った。</t>
    <phoneticPr fontId="18"/>
  </si>
  <si>
    <t>中国の反発や第三国移転の管理が課題になりうる。</t>
    <rPh sb="15" eb="17">
      <t>カダイ</t>
    </rPh>
    <phoneticPr fontId="18"/>
  </si>
  <si>
    <t>規則緩和は日本の防衛産業に新たな市場を開き、量産によるコスト低下や危機時の供給力強化につながる。東南アジアへの装備供給が進めば、中国抑止に寄与する反面、地域の軍事的緊張を高める懸念もある。</t>
    <rPh sb="2" eb="4">
      <t>カンワ</t>
    </rPh>
    <phoneticPr fontId="18"/>
  </si>
  <si>
    <t>https://www.reuters.com/world/china/japan-opens-door-global-arms-market-with-biggest-export-rule-change-decades-2026-04-21/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</si>
</sst>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游ゴシック"/>
      <family val="2"/>
      <charset val="128"/>
      <scheme val="minor"/>
    </font>
    <font>
      <sz val="11"/>
      <color theme="1"/>
      <name val="游ゴシック"/>
      <family val="2"/>
      <charset val="128"/>
      <scheme val="minor"/>
    </font>
    <font>
      <sz val="18"/>
      <color theme="3"/>
      <name val="游ゴシック Light"/>
      <family val="2"/>
      <charset val="128"/>
      <scheme val="major"/>
    </font>
    <font>
      <b/>
      <sz val="15"/>
      <color theme="3"/>
      <name val="游ゴシック"/>
      <family val="2"/>
      <charset val="128"/>
      <scheme val="minor"/>
    </font>
    <font>
      <b/>
      <sz val="13"/>
      <color theme="3"/>
      <name val="游ゴシック"/>
      <family val="2"/>
      <charset val="128"/>
      <scheme val="minor"/>
    </font>
    <font>
      <b/>
      <sz val="11"/>
      <color theme="3"/>
      <name val="游ゴシック"/>
      <family val="2"/>
      <charset val="128"/>
      <scheme val="minor"/>
    </font>
    <font>
      <sz val="11"/>
      <color rgb="FF006100"/>
      <name val="游ゴシック"/>
      <family val="2"/>
      <charset val="128"/>
      <scheme val="minor"/>
    </font>
    <font>
      <sz val="11"/>
      <color rgb="FF9C0006"/>
      <name val="游ゴシック"/>
      <family val="2"/>
      <charset val="128"/>
      <scheme val="minor"/>
    </font>
    <font>
      <sz val="11"/>
      <color rgb="FF9C5700"/>
      <name val="游ゴシック"/>
      <family val="2"/>
      <charset val="128"/>
      <scheme val="minor"/>
    </font>
    <font>
      <sz val="11"/>
      <color rgb="FF3F3F76"/>
      <name val="游ゴシック"/>
      <family val="2"/>
      <charset val="128"/>
      <scheme val="minor"/>
    </font>
    <font>
      <b/>
      <sz val="11"/>
      <color rgb="FF3F3F3F"/>
      <name val="游ゴシック"/>
      <family val="2"/>
      <charset val="128"/>
      <scheme val="minor"/>
    </font>
    <font>
      <b/>
      <sz val="11"/>
      <color rgb="FFFA7D00"/>
      <name val="游ゴシック"/>
      <family val="2"/>
      <charset val="128"/>
      <scheme val="minor"/>
    </font>
    <font>
      <sz val="11"/>
      <color rgb="FFFA7D00"/>
      <name val="游ゴシック"/>
      <family val="2"/>
      <charset val="128"/>
      <scheme val="minor"/>
    </font>
    <font>
      <b/>
      <sz val="11"/>
      <color theme="0"/>
      <name val="游ゴシック"/>
      <family val="2"/>
      <charset val="128"/>
      <scheme val="minor"/>
    </font>
    <font>
      <sz val="11"/>
      <color rgb="FFFF0000"/>
      <name val="游ゴシック"/>
      <family val="2"/>
      <charset val="128"/>
      <scheme val="minor"/>
    </font>
    <font>
      <i/>
      <sz val="11"/>
      <color rgb="FF7F7F7F"/>
      <name val="游ゴシック"/>
      <family val="2"/>
      <charset val="128"/>
      <scheme val="minor"/>
    </font>
    <font>
      <b/>
      <sz val="11"/>
      <color theme="1"/>
      <name val="游ゴシック"/>
      <family val="2"/>
      <charset val="128"/>
      <scheme val="minor"/>
    </font>
    <font>
      <sz val="11"/>
      <color theme="0"/>
      <name val="游ゴシック"/>
      <family val="2"/>
      <charset val="128"/>
      <scheme val="minor"/>
    </font>
    <font>
      <sz val="6"/>
      <name val="游ゴシック"/>
      <family val="2"/>
      <charset val="128"/>
      <scheme val="minor"/>
    </font>
    <font>
      <sz val="10"/>
      <color theme="1"/>
      <name val="Arial Unicode MS"/>
      <family val="2"/>
    </font>
    <font>
      <u/>
      <sz val="11"/>
      <color theme="10"/>
      <name val="游ゴシック"/>
      <family val="2"/>
      <charset val="128"/>
      <scheme val="minor"/>
    </font>
    <font>
      <sz val="10"/>
      <color theme="1"/>
      <name val="游ゴシック"/>
      <family val="2"/>
      <charset val="128"/>
      <scheme val="minor"/>
    </font>
    <font>
      <u/>
      <sz val="10"/>
      <color theme="10"/>
      <name val="游ゴシック"/>
      <family val="2"/>
      <charset val="128"/>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0" tint="-0.34998626667073579"/>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xf numFmtId="0" fontId="20" fillId="0" borderId="0" applyNumberFormat="0" applyFill="0" applyBorder="0" applyAlignment="0" applyProtection="0">
      <alignment vertical="center"/>
    </xf>
  </cellStyleXfs>
  <cellXfs count="9">
    <xf numFmtId="0" fontId="0" fillId="0" borderId="0" xfId="0">
      <alignment vertical="center"/>
    </xf>
    <xf numFmtId="0" fontId="19" fillId="33" borderId="0" xfId="0" applyFont="1" applyFill="1">
      <alignment vertical="center"/>
    </xf>
    <xf numFmtId="0" fontId="20" fillId="0" borderId="0" xfId="42">
      <alignment vertical="center"/>
    </xf>
    <xf numFmtId="0" fontId="21" fillId="33" borderId="0" xfId="0" applyFont="1" applyFill="1">
      <alignment vertical="center"/>
    </xf>
    <xf numFmtId="0" fontId="21" fillId="0" borderId="0" xfId="0" applyFont="1">
      <alignment vertical="center"/>
    </xf>
    <xf numFmtId="14" fontId="21" fillId="0" borderId="0" xfId="0" applyNumberFormat="1" applyFont="1">
      <alignment vertical="center"/>
    </xf>
    <xf numFmtId="0" fontId="22" fillId="0" borderId="0" xfId="42" applyFont="1">
      <alignment vertical="center"/>
    </xf>
    <xf numFmtId="56" fontId="21" fillId="0" borderId="0" xfId="0" applyNumberFormat="1" applyFont="1">
      <alignment vertical="center"/>
    </xf>
    <xf numFmtId="0" fontId="21" fillId="34" borderId="0" xfId="0" applyFont="1" applyFill="1">
      <alignment vertical="center"/>
    </xf>
  </cellXfs>
  <cellStyles count="43">
    <cellStyle name="20% - アクセント 1" xfId="19" builtinId="30" customBuiltin="1"/>
    <cellStyle name="20% - アクセント 2" xfId="23" builtinId="34" customBuiltin="1"/>
    <cellStyle name="20% - アクセント 3" xfId="27" builtinId="38" customBuiltin="1"/>
    <cellStyle name="20% - アクセント 4" xfId="31" builtinId="42" customBuiltin="1"/>
    <cellStyle name="20% - アクセント 5" xfId="35" builtinId="46" customBuiltin="1"/>
    <cellStyle name="20% - アクセント 6" xfId="39" builtinId="50" customBuiltin="1"/>
    <cellStyle name="40% - アクセント 1" xfId="20" builtinId="31" customBuiltin="1"/>
    <cellStyle name="40% - アクセント 2" xfId="24" builtinId="35" customBuiltin="1"/>
    <cellStyle name="40% - アクセント 3" xfId="28" builtinId="39" customBuiltin="1"/>
    <cellStyle name="40% - アクセント 4" xfId="32" builtinId="43" customBuiltin="1"/>
    <cellStyle name="40% - アクセント 5" xfId="36" builtinId="47" customBuiltin="1"/>
    <cellStyle name="40% - アクセント 6" xfId="40" builtinId="51" customBuiltin="1"/>
    <cellStyle name="60% - アクセント 1" xfId="21" builtinId="32" customBuiltin="1"/>
    <cellStyle name="60% - アクセント 2" xfId="25" builtinId="36" customBuiltin="1"/>
    <cellStyle name="60% - アクセント 3" xfId="29" builtinId="40" customBuiltin="1"/>
    <cellStyle name="60% - アクセント 4" xfId="33" builtinId="44" customBuiltin="1"/>
    <cellStyle name="60% - アクセント 5" xfId="37" builtinId="48" customBuiltin="1"/>
    <cellStyle name="60% - アクセント 6" xfId="41" builtinId="52" customBuiltin="1"/>
    <cellStyle name="アクセント 1" xfId="18" builtinId="29" customBuiltin="1"/>
    <cellStyle name="アクセント 2" xfId="22" builtinId="33" customBuiltin="1"/>
    <cellStyle name="アクセント 3" xfId="26" builtinId="37" customBuiltin="1"/>
    <cellStyle name="アクセント 4" xfId="30" builtinId="41" customBuiltin="1"/>
    <cellStyle name="アクセント 5" xfId="34" builtinId="45" customBuiltin="1"/>
    <cellStyle name="アクセント 6" xfId="38" builtinId="49" customBuiltin="1"/>
    <cellStyle name="タイトル" xfId="1" builtinId="15" customBuiltin="1"/>
    <cellStyle name="チェック セル" xfId="13" builtinId="23" customBuiltin="1"/>
    <cellStyle name="どちらでもない" xfId="8" builtinId="28" customBuiltin="1"/>
    <cellStyle name="ハイパーリンク" xfId="42" builtinId="8"/>
    <cellStyle name="メモ" xfId="15" builtinId="10" customBuiltin="1"/>
    <cellStyle name="リンク セル" xfId="12" builtinId="24" customBuiltin="1"/>
    <cellStyle name="悪い" xfId="7" builtinId="27" customBuiltin="1"/>
    <cellStyle name="計算" xfId="11" builtinId="22" customBuiltin="1"/>
    <cellStyle name="警告文" xfId="14" builtinId="11" customBuiltin="1"/>
    <cellStyle name="見出し 1" xfId="2" builtinId="16" customBuiltin="1"/>
    <cellStyle name="見出し 2" xfId="3" builtinId="17" customBuiltin="1"/>
    <cellStyle name="見出し 3" xfId="4" builtinId="18" customBuiltin="1"/>
    <cellStyle name="見出し 4" xfId="5" builtinId="19" customBuiltin="1"/>
    <cellStyle name="集計" xfId="17" builtinId="25" customBuiltin="1"/>
    <cellStyle name="出力" xfId="10" builtinId="21" customBuiltin="1"/>
    <cellStyle name="説明文" xfId="16" builtinId="53" customBuiltin="1"/>
    <cellStyle name="入力" xfId="9" builtinId="20" customBuiltin="1"/>
    <cellStyle name="標準" xfId="0" builtinId="0"/>
    <cellStyle name="良い" xfId="6" builtinId="26"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G:\world_map_project\world-map-news-app\public\data\ISO&#36766;&#26360;.xlsx" TargetMode="External"/><Relationship Id="rId1" Type="http://schemas.openxmlformats.org/officeDocument/2006/relationships/externalLinkPath" Target="ISO&#36766;&#2636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SO辞書"/>
    </sheetNames>
    <sheetDataSet>
      <sheetData sheetId="0">
        <row r="1">
          <cell r="A1" t="str">
            <v>A列</v>
          </cell>
          <cell r="B1" t="str">
            <v>B列</v>
          </cell>
          <cell r="C1" t="str">
            <v>C列</v>
          </cell>
        </row>
        <row r="2">
          <cell r="A2" t="str">
            <v>国名_日本語</v>
          </cell>
          <cell r="B2" t="str">
            <v>ISO3</v>
          </cell>
          <cell r="C2" t="str">
            <v>国名_英語</v>
          </cell>
        </row>
        <row r="3">
          <cell r="A3" t="str">
            <v>アフガニスタン</v>
          </cell>
          <cell r="B3" t="str">
            <v>AFG</v>
          </cell>
          <cell r="C3" t="str">
            <v>Afghanistan</v>
          </cell>
        </row>
        <row r="4">
          <cell r="A4" t="str">
            <v>オーランド諸島</v>
          </cell>
          <cell r="B4" t="str">
            <v>ALA</v>
          </cell>
          <cell r="C4" t="str">
            <v>Åland Islands</v>
          </cell>
        </row>
        <row r="5">
          <cell r="A5" t="str">
            <v>アルバニア</v>
          </cell>
          <cell r="B5" t="str">
            <v>ALB</v>
          </cell>
          <cell r="C5" t="str">
            <v>Albania</v>
          </cell>
        </row>
        <row r="6">
          <cell r="A6" t="str">
            <v>アルジェリア</v>
          </cell>
          <cell r="B6" t="str">
            <v>DZA</v>
          </cell>
          <cell r="C6" t="str">
            <v>Algeria</v>
          </cell>
        </row>
        <row r="7">
          <cell r="A7" t="str">
            <v>アメリカ領サモア</v>
          </cell>
          <cell r="B7" t="str">
            <v>ASM</v>
          </cell>
          <cell r="C7" t="str">
            <v>American Samoa</v>
          </cell>
        </row>
        <row r="8">
          <cell r="A8" t="str">
            <v>アンドラ</v>
          </cell>
          <cell r="B8" t="str">
            <v>AND</v>
          </cell>
          <cell r="C8" t="str">
            <v>Andorra</v>
          </cell>
        </row>
        <row r="9">
          <cell r="A9" t="str">
            <v>アンゴラ</v>
          </cell>
          <cell r="B9" t="str">
            <v>AGO</v>
          </cell>
          <cell r="C9" t="str">
            <v>Angola</v>
          </cell>
        </row>
        <row r="10">
          <cell r="A10" t="str">
            <v>アンギラ</v>
          </cell>
          <cell r="B10" t="str">
            <v>AIA</v>
          </cell>
          <cell r="C10" t="str">
            <v>Anguilla</v>
          </cell>
        </row>
        <row r="11">
          <cell r="A11" t="str">
            <v>南極</v>
          </cell>
          <cell r="B11" t="str">
            <v>ATA</v>
          </cell>
          <cell r="C11" t="str">
            <v>Antarctica</v>
          </cell>
        </row>
        <row r="12">
          <cell r="A12" t="str">
            <v>アンティグア・バーブーダ</v>
          </cell>
          <cell r="B12" t="str">
            <v>ATG</v>
          </cell>
          <cell r="C12" t="str">
            <v>Antigua and Barbuda</v>
          </cell>
        </row>
        <row r="13">
          <cell r="A13" t="str">
            <v>アルゼンチン</v>
          </cell>
          <cell r="B13" t="str">
            <v>ARG</v>
          </cell>
          <cell r="C13" t="str">
            <v>Argentina</v>
          </cell>
        </row>
        <row r="14">
          <cell r="A14" t="str">
            <v>アルメニア</v>
          </cell>
          <cell r="B14" t="str">
            <v>ARM</v>
          </cell>
          <cell r="C14" t="str">
            <v>Armenia</v>
          </cell>
        </row>
        <row r="15">
          <cell r="A15" t="str">
            <v>アルバ</v>
          </cell>
          <cell r="B15" t="str">
            <v>ABW</v>
          </cell>
          <cell r="C15" t="str">
            <v>Aruba</v>
          </cell>
        </row>
        <row r="16">
          <cell r="A16" t="str">
            <v>オーストラリア</v>
          </cell>
          <cell r="B16" t="str">
            <v>AUS</v>
          </cell>
          <cell r="C16" t="str">
            <v>Australia</v>
          </cell>
        </row>
        <row r="17">
          <cell r="A17" t="str">
            <v>オーストリア</v>
          </cell>
          <cell r="B17" t="str">
            <v>AUT</v>
          </cell>
          <cell r="C17" t="str">
            <v>Austria</v>
          </cell>
        </row>
        <row r="18">
          <cell r="A18" t="str">
            <v>アゼルバイジャン</v>
          </cell>
          <cell r="B18" t="str">
            <v>AZE</v>
          </cell>
          <cell r="C18" t="str">
            <v>Azerbaijan</v>
          </cell>
        </row>
        <row r="19">
          <cell r="A19" t="str">
            <v>バハマ</v>
          </cell>
          <cell r="B19" t="str">
            <v>BHS</v>
          </cell>
          <cell r="C19" t="str">
            <v>Bahamas</v>
          </cell>
        </row>
        <row r="20">
          <cell r="A20" t="str">
            <v>バーレーン</v>
          </cell>
          <cell r="B20" t="str">
            <v>BHR</v>
          </cell>
          <cell r="C20" t="str">
            <v>Bahrain</v>
          </cell>
        </row>
        <row r="21">
          <cell r="A21" t="str">
            <v>バングラデシュ</v>
          </cell>
          <cell r="B21" t="str">
            <v>BGD</v>
          </cell>
          <cell r="C21" t="str">
            <v>Bangladesh</v>
          </cell>
        </row>
        <row r="22">
          <cell r="A22" t="str">
            <v>バルバドス</v>
          </cell>
          <cell r="B22" t="str">
            <v>BRB</v>
          </cell>
          <cell r="C22" t="str">
            <v>Barbados</v>
          </cell>
        </row>
        <row r="23">
          <cell r="A23" t="str">
            <v>ベラルーシ</v>
          </cell>
          <cell r="B23" t="str">
            <v>BLR</v>
          </cell>
          <cell r="C23" t="str">
            <v>Belarus</v>
          </cell>
        </row>
        <row r="24">
          <cell r="A24" t="str">
            <v>ベルギー</v>
          </cell>
          <cell r="B24" t="str">
            <v>BEL</v>
          </cell>
          <cell r="C24" t="str">
            <v>Belgium</v>
          </cell>
        </row>
        <row r="25">
          <cell r="A25" t="str">
            <v>ベリーズ</v>
          </cell>
          <cell r="B25" t="str">
            <v>BLZ</v>
          </cell>
          <cell r="C25" t="str">
            <v>Belize</v>
          </cell>
        </row>
        <row r="26">
          <cell r="A26" t="str">
            <v>ベナン</v>
          </cell>
          <cell r="B26" t="str">
            <v>BEN</v>
          </cell>
          <cell r="C26" t="str">
            <v>Benin</v>
          </cell>
        </row>
        <row r="27">
          <cell r="A27" t="str">
            <v>バミューダ</v>
          </cell>
          <cell r="B27" t="str">
            <v>BMU</v>
          </cell>
          <cell r="C27" t="str">
            <v>Bermuda</v>
          </cell>
        </row>
        <row r="28">
          <cell r="A28" t="str">
            <v>ブータン</v>
          </cell>
          <cell r="B28" t="str">
            <v>BTN</v>
          </cell>
          <cell r="C28" t="str">
            <v>Bhutan</v>
          </cell>
        </row>
        <row r="29">
          <cell r="A29" t="str">
            <v>ボリビア</v>
          </cell>
          <cell r="B29" t="str">
            <v>BOL</v>
          </cell>
          <cell r="C29" t="str">
            <v>Bolivia</v>
          </cell>
        </row>
        <row r="30">
          <cell r="A30" t="str">
            <v>ボスニア・ヘルツェゴビナ</v>
          </cell>
          <cell r="B30" t="str">
            <v>BIH</v>
          </cell>
          <cell r="C30" t="str">
            <v>Bosnia and Herzegovina</v>
          </cell>
        </row>
        <row r="31">
          <cell r="A31" t="str">
            <v>ボツワナ</v>
          </cell>
          <cell r="B31" t="str">
            <v>BWA</v>
          </cell>
          <cell r="C31" t="str">
            <v>Botswana</v>
          </cell>
        </row>
        <row r="32">
          <cell r="A32" t="str">
            <v>ブーベ島</v>
          </cell>
          <cell r="B32" t="str">
            <v>BVT</v>
          </cell>
          <cell r="C32" t="str">
            <v>Bouvet Island</v>
          </cell>
        </row>
        <row r="33">
          <cell r="A33" t="str">
            <v>ブラジル</v>
          </cell>
          <cell r="B33" t="str">
            <v>BRA</v>
          </cell>
          <cell r="C33" t="str">
            <v>Brazil</v>
          </cell>
        </row>
        <row r="34">
          <cell r="A34" t="str">
            <v>イギリス領インド洋地域</v>
          </cell>
          <cell r="B34" t="str">
            <v>IOT</v>
          </cell>
          <cell r="C34" t="str">
            <v>British Indian Ocean Territory</v>
          </cell>
        </row>
        <row r="35">
          <cell r="A35" t="str">
            <v>ブルネイ</v>
          </cell>
          <cell r="B35" t="str">
            <v>BRN</v>
          </cell>
          <cell r="C35" t="str">
            <v>Brunei Darussalam</v>
          </cell>
        </row>
        <row r="36">
          <cell r="A36" t="str">
            <v>ブルガリア</v>
          </cell>
          <cell r="B36" t="str">
            <v>BGR</v>
          </cell>
          <cell r="C36" t="str">
            <v>Bulgaria</v>
          </cell>
        </row>
        <row r="37">
          <cell r="A37" t="str">
            <v>ブルキナファソ</v>
          </cell>
          <cell r="B37" t="str">
            <v>BFA</v>
          </cell>
          <cell r="C37" t="str">
            <v>Burkina Faso</v>
          </cell>
        </row>
        <row r="38">
          <cell r="A38" t="str">
            <v>ブルンジ</v>
          </cell>
          <cell r="B38" t="str">
            <v>BDI</v>
          </cell>
          <cell r="C38" t="str">
            <v>Burundi</v>
          </cell>
        </row>
        <row r="39">
          <cell r="A39" t="str">
            <v>カーボベルデ</v>
          </cell>
          <cell r="B39" t="str">
            <v>CPV</v>
          </cell>
          <cell r="C39" t="str">
            <v>Cabo Verde</v>
          </cell>
        </row>
        <row r="40">
          <cell r="A40" t="str">
            <v>カンボジア</v>
          </cell>
          <cell r="B40" t="str">
            <v>KHM</v>
          </cell>
          <cell r="C40" t="str">
            <v>Cambodia</v>
          </cell>
        </row>
        <row r="41">
          <cell r="A41" t="str">
            <v>カメルーン</v>
          </cell>
          <cell r="B41" t="str">
            <v>CMR</v>
          </cell>
          <cell r="C41" t="str">
            <v>Cameroon</v>
          </cell>
        </row>
        <row r="42">
          <cell r="A42" t="str">
            <v>カナダ</v>
          </cell>
          <cell r="B42" t="str">
            <v>CAN</v>
          </cell>
          <cell r="C42" t="str">
            <v>Canada</v>
          </cell>
        </row>
        <row r="43">
          <cell r="A43" t="str">
            <v>ケイマン諸島</v>
          </cell>
          <cell r="B43" t="str">
            <v>CYM</v>
          </cell>
          <cell r="C43" t="str">
            <v>Cayman Islands</v>
          </cell>
        </row>
        <row r="44">
          <cell r="A44" t="str">
            <v>中央アフリカ共和国</v>
          </cell>
          <cell r="B44" t="str">
            <v>CAF</v>
          </cell>
          <cell r="C44" t="str">
            <v>Central African Republic</v>
          </cell>
        </row>
        <row r="45">
          <cell r="A45" t="str">
            <v>チャド</v>
          </cell>
          <cell r="B45" t="str">
            <v>TCD</v>
          </cell>
          <cell r="C45" t="str">
            <v>Chad</v>
          </cell>
        </row>
        <row r="46">
          <cell r="A46" t="str">
            <v>チリ</v>
          </cell>
          <cell r="B46" t="str">
            <v>CHL</v>
          </cell>
          <cell r="C46" t="str">
            <v>Chile</v>
          </cell>
        </row>
        <row r="47">
          <cell r="A47" t="str">
            <v>中国</v>
          </cell>
          <cell r="B47" t="str">
            <v>CHN</v>
          </cell>
          <cell r="C47" t="str">
            <v>China</v>
          </cell>
        </row>
        <row r="48">
          <cell r="A48" t="str">
            <v>クリスマス島</v>
          </cell>
          <cell r="B48" t="str">
            <v>CXR</v>
          </cell>
          <cell r="C48" t="str">
            <v>Christmas Island</v>
          </cell>
        </row>
        <row r="49">
          <cell r="A49" t="str">
            <v>ココス諸島</v>
          </cell>
          <cell r="B49" t="str">
            <v>CCK</v>
          </cell>
          <cell r="C49" t="str">
            <v>Cocos (Keeling) Islands</v>
          </cell>
        </row>
        <row r="50">
          <cell r="A50" t="str">
            <v>コロンビア</v>
          </cell>
          <cell r="B50" t="str">
            <v>COL</v>
          </cell>
          <cell r="C50" t="str">
            <v>Colombia</v>
          </cell>
        </row>
        <row r="51">
          <cell r="A51" t="str">
            <v>コモロ</v>
          </cell>
          <cell r="B51" t="str">
            <v>COM</v>
          </cell>
          <cell r="C51" t="str">
            <v>Comoros</v>
          </cell>
        </row>
        <row r="52">
          <cell r="A52" t="str">
            <v>コンゴ共和国</v>
          </cell>
          <cell r="B52" t="str">
            <v>COG</v>
          </cell>
          <cell r="C52" t="str">
            <v>Congo</v>
          </cell>
        </row>
        <row r="53">
          <cell r="A53" t="str">
            <v>コンゴ民主共和国</v>
          </cell>
          <cell r="B53" t="str">
            <v>COD</v>
          </cell>
          <cell r="C53" t="str">
            <v>Democratic Republic of the Congo</v>
          </cell>
        </row>
        <row r="54">
          <cell r="A54" t="str">
            <v>クック諸島</v>
          </cell>
          <cell r="B54" t="str">
            <v>COK</v>
          </cell>
          <cell r="C54" t="str">
            <v>Cook Islands</v>
          </cell>
        </row>
        <row r="55">
          <cell r="A55" t="str">
            <v>コスタリカ</v>
          </cell>
          <cell r="B55" t="str">
            <v>CRI</v>
          </cell>
          <cell r="C55" t="str">
            <v>Costa Rica</v>
          </cell>
        </row>
        <row r="56">
          <cell r="A56" t="str">
            <v>コートジボワール</v>
          </cell>
          <cell r="B56" t="str">
            <v>CIV</v>
          </cell>
          <cell r="C56" t="str">
            <v>Côte d'Ivoire</v>
          </cell>
        </row>
        <row r="57">
          <cell r="A57" t="str">
            <v>クロアチア</v>
          </cell>
          <cell r="B57" t="str">
            <v>HRV</v>
          </cell>
          <cell r="C57" t="str">
            <v>Croatia</v>
          </cell>
        </row>
        <row r="58">
          <cell r="A58" t="str">
            <v>キューバ</v>
          </cell>
          <cell r="B58" t="str">
            <v>CUB</v>
          </cell>
          <cell r="C58" t="str">
            <v>Cuba</v>
          </cell>
        </row>
        <row r="59">
          <cell r="A59" t="str">
            <v>キュラソー</v>
          </cell>
          <cell r="B59" t="str">
            <v>CUW</v>
          </cell>
          <cell r="C59" t="str">
            <v>Curaçao</v>
          </cell>
        </row>
        <row r="60">
          <cell r="A60" t="str">
            <v>キプロス</v>
          </cell>
          <cell r="B60" t="str">
            <v>CYP</v>
          </cell>
          <cell r="C60" t="str">
            <v>Cyprus</v>
          </cell>
        </row>
        <row r="61">
          <cell r="A61" t="str">
            <v>チェコ</v>
          </cell>
          <cell r="B61" t="str">
            <v>CZE</v>
          </cell>
          <cell r="C61" t="str">
            <v>Czechia</v>
          </cell>
        </row>
        <row r="62">
          <cell r="A62" t="str">
            <v>デンマーク</v>
          </cell>
          <cell r="B62" t="str">
            <v>DNK</v>
          </cell>
          <cell r="C62" t="str">
            <v>Denmark</v>
          </cell>
        </row>
        <row r="63">
          <cell r="A63" t="str">
            <v>ジブチ</v>
          </cell>
          <cell r="B63" t="str">
            <v>DJI</v>
          </cell>
          <cell r="C63" t="str">
            <v>Djibouti</v>
          </cell>
        </row>
        <row r="64">
          <cell r="A64" t="str">
            <v>ドミニカ</v>
          </cell>
          <cell r="B64" t="str">
            <v>DMA</v>
          </cell>
          <cell r="C64" t="str">
            <v>Dominica</v>
          </cell>
        </row>
        <row r="65">
          <cell r="A65" t="str">
            <v>ドミニカ共和国</v>
          </cell>
          <cell r="B65" t="str">
            <v>DOM</v>
          </cell>
          <cell r="C65" t="str">
            <v>Dominican Republic</v>
          </cell>
        </row>
        <row r="66">
          <cell r="A66" t="str">
            <v>エクアドル</v>
          </cell>
          <cell r="B66" t="str">
            <v>ECU</v>
          </cell>
          <cell r="C66" t="str">
            <v>Ecuador</v>
          </cell>
        </row>
        <row r="67">
          <cell r="A67" t="str">
            <v>エジプト</v>
          </cell>
          <cell r="B67" t="str">
            <v>EGY</v>
          </cell>
          <cell r="C67" t="str">
            <v>Egypt</v>
          </cell>
        </row>
        <row r="68">
          <cell r="A68" t="str">
            <v>エルサルバドル</v>
          </cell>
          <cell r="B68" t="str">
            <v>SLV</v>
          </cell>
          <cell r="C68" t="str">
            <v>El Salvador</v>
          </cell>
        </row>
        <row r="69">
          <cell r="A69" t="str">
            <v>赤道ギニア</v>
          </cell>
          <cell r="B69" t="str">
            <v>GNQ</v>
          </cell>
          <cell r="C69" t="str">
            <v>Equatorial Guinea</v>
          </cell>
        </row>
        <row r="70">
          <cell r="A70" t="str">
            <v>エリトリア</v>
          </cell>
          <cell r="B70" t="str">
            <v>ERI</v>
          </cell>
          <cell r="C70" t="str">
            <v>Eritrea</v>
          </cell>
        </row>
        <row r="71">
          <cell r="A71" t="str">
            <v>エストニア</v>
          </cell>
          <cell r="B71" t="str">
            <v>EST</v>
          </cell>
          <cell r="C71" t="str">
            <v>Estonia</v>
          </cell>
        </row>
        <row r="72">
          <cell r="A72" t="str">
            <v>エスワティニ</v>
          </cell>
          <cell r="B72" t="str">
            <v>SWZ</v>
          </cell>
          <cell r="C72" t="str">
            <v>Eswatini</v>
          </cell>
        </row>
        <row r="73">
          <cell r="A73" t="str">
            <v>エチオピア</v>
          </cell>
          <cell r="B73" t="str">
            <v>ETH</v>
          </cell>
          <cell r="C73" t="str">
            <v>Ethiopia</v>
          </cell>
        </row>
        <row r="74">
          <cell r="A74" t="str">
            <v>フォークランド諸島</v>
          </cell>
          <cell r="B74" t="str">
            <v>FLK</v>
          </cell>
          <cell r="C74" t="str">
            <v>Falkland Islands (Malvinas)</v>
          </cell>
        </row>
        <row r="75">
          <cell r="A75" t="str">
            <v>フェロー諸島</v>
          </cell>
          <cell r="B75" t="str">
            <v>FRO</v>
          </cell>
          <cell r="C75" t="str">
            <v>Faroe Islands</v>
          </cell>
        </row>
        <row r="76">
          <cell r="A76" t="str">
            <v>フィジー</v>
          </cell>
          <cell r="B76" t="str">
            <v>FJI</v>
          </cell>
          <cell r="C76" t="str">
            <v>Fiji</v>
          </cell>
        </row>
        <row r="77">
          <cell r="A77" t="str">
            <v>フィンランド</v>
          </cell>
          <cell r="B77" t="str">
            <v>FIN</v>
          </cell>
          <cell r="C77" t="str">
            <v>Finland</v>
          </cell>
        </row>
        <row r="78">
          <cell r="A78" t="str">
            <v>フランス</v>
          </cell>
          <cell r="B78" t="str">
            <v>FRA</v>
          </cell>
          <cell r="C78" t="str">
            <v>France</v>
          </cell>
        </row>
        <row r="79">
          <cell r="A79" t="str">
            <v>フランス領ギアナ</v>
          </cell>
          <cell r="B79" t="str">
            <v>GUF</v>
          </cell>
          <cell r="C79" t="str">
            <v>French Guiana</v>
          </cell>
        </row>
        <row r="80">
          <cell r="A80" t="str">
            <v>フランス領ポリネシア</v>
          </cell>
          <cell r="B80" t="str">
            <v>PYF</v>
          </cell>
          <cell r="C80" t="str">
            <v>French Polynesia</v>
          </cell>
        </row>
        <row r="81">
          <cell r="A81" t="str">
            <v>ガボン</v>
          </cell>
          <cell r="B81" t="str">
            <v>GAB</v>
          </cell>
          <cell r="C81" t="str">
            <v>Gabon</v>
          </cell>
        </row>
        <row r="82">
          <cell r="A82" t="str">
            <v>ガンビア</v>
          </cell>
          <cell r="B82" t="str">
            <v>GMB</v>
          </cell>
          <cell r="C82" t="str">
            <v>Gambia</v>
          </cell>
        </row>
        <row r="83">
          <cell r="A83" t="str">
            <v>ジョージア</v>
          </cell>
          <cell r="B83" t="str">
            <v>GEO</v>
          </cell>
          <cell r="C83" t="str">
            <v>Georgia</v>
          </cell>
        </row>
        <row r="84">
          <cell r="A84" t="str">
            <v>ドイツ</v>
          </cell>
          <cell r="B84" t="str">
            <v>DEU</v>
          </cell>
          <cell r="C84" t="str">
            <v>Germany</v>
          </cell>
        </row>
        <row r="85">
          <cell r="A85" t="str">
            <v>ガーナ</v>
          </cell>
          <cell r="B85" t="str">
            <v>GHA</v>
          </cell>
          <cell r="C85" t="str">
            <v>Ghana</v>
          </cell>
        </row>
        <row r="86">
          <cell r="A86" t="str">
            <v>ジブラルタル</v>
          </cell>
          <cell r="B86" t="str">
            <v>GIB</v>
          </cell>
          <cell r="C86" t="str">
            <v>Gibraltar</v>
          </cell>
        </row>
        <row r="87">
          <cell r="A87" t="str">
            <v>ギリシャ</v>
          </cell>
          <cell r="B87" t="str">
            <v>GRC</v>
          </cell>
          <cell r="C87" t="str">
            <v>Greece</v>
          </cell>
        </row>
        <row r="88">
          <cell r="A88" t="str">
            <v>グリーンランド</v>
          </cell>
          <cell r="B88" t="str">
            <v>GRL</v>
          </cell>
          <cell r="C88" t="str">
            <v>Greenland</v>
          </cell>
        </row>
        <row r="89">
          <cell r="A89" t="str">
            <v>グレナダ</v>
          </cell>
          <cell r="B89" t="str">
            <v>GRD</v>
          </cell>
          <cell r="C89" t="str">
            <v>Grenada</v>
          </cell>
        </row>
        <row r="90">
          <cell r="A90" t="str">
            <v>グアドループ</v>
          </cell>
          <cell r="B90" t="str">
            <v>GLP</v>
          </cell>
          <cell r="C90" t="str">
            <v>Guadeloupe</v>
          </cell>
        </row>
        <row r="91">
          <cell r="A91" t="str">
            <v>グアム</v>
          </cell>
          <cell r="B91" t="str">
            <v>GUM</v>
          </cell>
          <cell r="C91" t="str">
            <v>Guam</v>
          </cell>
        </row>
        <row r="92">
          <cell r="A92" t="str">
            <v>グアテマラ</v>
          </cell>
          <cell r="B92" t="str">
            <v>GTM</v>
          </cell>
          <cell r="C92" t="str">
            <v>Guatemala</v>
          </cell>
        </row>
        <row r="93">
          <cell r="A93" t="str">
            <v>ガーンジー</v>
          </cell>
          <cell r="B93" t="str">
            <v>GGY</v>
          </cell>
          <cell r="C93" t="str">
            <v>Guernsey</v>
          </cell>
        </row>
        <row r="94">
          <cell r="A94" t="str">
            <v>ギニア</v>
          </cell>
          <cell r="B94" t="str">
            <v>GIN</v>
          </cell>
          <cell r="C94" t="str">
            <v>Guinea</v>
          </cell>
        </row>
        <row r="95">
          <cell r="A95" t="str">
            <v>ギニアビサウ</v>
          </cell>
          <cell r="B95" t="str">
            <v>GNB</v>
          </cell>
          <cell r="C95" t="str">
            <v>Guinea-Bissau</v>
          </cell>
        </row>
        <row r="96">
          <cell r="A96" t="str">
            <v>ガイアナ</v>
          </cell>
          <cell r="B96" t="str">
            <v>GUY</v>
          </cell>
          <cell r="C96" t="str">
            <v>Guyana</v>
          </cell>
        </row>
        <row r="97">
          <cell r="A97" t="str">
            <v>ハイチ</v>
          </cell>
          <cell r="B97" t="str">
            <v>HTI</v>
          </cell>
          <cell r="C97" t="str">
            <v>Haiti</v>
          </cell>
        </row>
        <row r="98">
          <cell r="A98" t="str">
            <v>ハード島とマクドナルド諸島</v>
          </cell>
          <cell r="B98" t="str">
            <v>HMD</v>
          </cell>
          <cell r="C98" t="str">
            <v>Heard Island and McDonald Islands</v>
          </cell>
        </row>
        <row r="99">
          <cell r="A99" t="str">
            <v>バチカン</v>
          </cell>
          <cell r="B99" t="str">
            <v>HOLY</v>
          </cell>
          <cell r="C99" t="str">
            <v>Holy See</v>
          </cell>
        </row>
        <row r="100">
          <cell r="A100" t="str">
            <v>ホンジュラス</v>
          </cell>
          <cell r="B100" t="str">
            <v>HND</v>
          </cell>
          <cell r="C100" t="str">
            <v>Honduras</v>
          </cell>
        </row>
        <row r="101">
          <cell r="A101" t="str">
            <v>香港</v>
          </cell>
          <cell r="B101" t="str">
            <v>HKG</v>
          </cell>
          <cell r="C101" t="str">
            <v>Hong Kong</v>
          </cell>
        </row>
        <row r="102">
          <cell r="A102" t="str">
            <v>ハンガリー</v>
          </cell>
          <cell r="B102" t="str">
            <v>HUN</v>
          </cell>
          <cell r="C102" t="str">
            <v>Hungary</v>
          </cell>
        </row>
        <row r="103">
          <cell r="A103" t="str">
            <v>アイスランド</v>
          </cell>
          <cell r="B103" t="str">
            <v>ISL</v>
          </cell>
          <cell r="C103" t="str">
            <v>Iceland</v>
          </cell>
        </row>
        <row r="104">
          <cell r="A104" t="str">
            <v>インド</v>
          </cell>
          <cell r="B104" t="str">
            <v>IND</v>
          </cell>
          <cell r="C104" t="str">
            <v>India</v>
          </cell>
        </row>
        <row r="105">
          <cell r="A105" t="str">
            <v>インドネシア</v>
          </cell>
          <cell r="B105" t="str">
            <v>IDN</v>
          </cell>
          <cell r="C105" t="str">
            <v>Indonesia</v>
          </cell>
        </row>
        <row r="106">
          <cell r="A106" t="str">
            <v>イラン</v>
          </cell>
          <cell r="B106" t="str">
            <v>IRN</v>
          </cell>
          <cell r="C106" t="str">
            <v>Iran</v>
          </cell>
        </row>
        <row r="107">
          <cell r="A107" t="str">
            <v>イラク</v>
          </cell>
          <cell r="B107" t="str">
            <v>IRQ</v>
          </cell>
          <cell r="C107" t="str">
            <v>Iraq</v>
          </cell>
        </row>
        <row r="108">
          <cell r="A108" t="str">
            <v>アイルランド</v>
          </cell>
          <cell r="B108" t="str">
            <v>IRL</v>
          </cell>
          <cell r="C108" t="str">
            <v>Ireland</v>
          </cell>
        </row>
        <row r="109">
          <cell r="A109" t="str">
            <v>マン島</v>
          </cell>
          <cell r="B109" t="str">
            <v>IMN</v>
          </cell>
          <cell r="C109" t="str">
            <v>Isle of Man</v>
          </cell>
        </row>
        <row r="110">
          <cell r="A110" t="str">
            <v>イスラエル</v>
          </cell>
          <cell r="B110" t="str">
            <v>ISR</v>
          </cell>
          <cell r="C110" t="str">
            <v>Israel</v>
          </cell>
        </row>
        <row r="111">
          <cell r="A111" t="str">
            <v>イタリア</v>
          </cell>
          <cell r="B111" t="str">
            <v>ITA</v>
          </cell>
          <cell r="C111" t="str">
            <v>Italy</v>
          </cell>
        </row>
        <row r="112">
          <cell r="A112" t="str">
            <v>ジャマイカ</v>
          </cell>
          <cell r="B112" t="str">
            <v>JAM</v>
          </cell>
          <cell r="C112" t="str">
            <v>Jamaica</v>
          </cell>
        </row>
        <row r="113">
          <cell r="A113" t="str">
            <v>日本</v>
          </cell>
          <cell r="B113" t="str">
            <v>JPN</v>
          </cell>
          <cell r="C113" t="str">
            <v>Japan</v>
          </cell>
        </row>
        <row r="114">
          <cell r="A114" t="str">
            <v>ジャージー</v>
          </cell>
          <cell r="B114" t="str">
            <v>JEY</v>
          </cell>
          <cell r="C114" t="str">
            <v>Jersey</v>
          </cell>
        </row>
        <row r="115">
          <cell r="A115" t="str">
            <v>ヨルダン</v>
          </cell>
          <cell r="B115" t="str">
            <v>JOR</v>
          </cell>
          <cell r="C115" t="str">
            <v>Jordan</v>
          </cell>
        </row>
        <row r="116">
          <cell r="A116" t="str">
            <v>カザフスタン</v>
          </cell>
          <cell r="B116" t="str">
            <v>KAZ</v>
          </cell>
          <cell r="C116" t="str">
            <v>Kazakhstan</v>
          </cell>
        </row>
        <row r="117">
          <cell r="A117" t="str">
            <v>ケニア</v>
          </cell>
          <cell r="B117" t="str">
            <v>KEN</v>
          </cell>
          <cell r="C117" t="str">
            <v>Kenya</v>
          </cell>
        </row>
        <row r="118">
          <cell r="A118" t="str">
            <v>キリバス</v>
          </cell>
          <cell r="B118" t="str">
            <v>KIR</v>
          </cell>
          <cell r="C118" t="str">
            <v>Kiribati</v>
          </cell>
        </row>
        <row r="119">
          <cell r="A119" t="str">
            <v>北朝鮮</v>
          </cell>
          <cell r="B119" t="str">
            <v>PRK</v>
          </cell>
          <cell r="C119" t="str">
            <v>North Korea</v>
          </cell>
        </row>
        <row r="120">
          <cell r="A120" t="str">
            <v>韓国</v>
          </cell>
          <cell r="B120" t="str">
            <v>KOR</v>
          </cell>
          <cell r="C120" t="str">
            <v>Korea</v>
          </cell>
        </row>
        <row r="121">
          <cell r="A121" t="str">
            <v>クウェート</v>
          </cell>
          <cell r="B121" t="str">
            <v>KWT</v>
          </cell>
          <cell r="C121" t="str">
            <v>Kuwait</v>
          </cell>
        </row>
        <row r="122">
          <cell r="A122" t="str">
            <v>キルギス</v>
          </cell>
          <cell r="B122" t="str">
            <v>KGZ</v>
          </cell>
          <cell r="C122" t="str">
            <v>Kyrgyzstan</v>
          </cell>
        </row>
        <row r="123">
          <cell r="A123" t="str">
            <v>ラオス</v>
          </cell>
          <cell r="B123" t="str">
            <v>LAO</v>
          </cell>
          <cell r="C123" t="str">
            <v>Lao People's Democratic Republic</v>
          </cell>
        </row>
        <row r="124">
          <cell r="A124" t="str">
            <v>ラトビア</v>
          </cell>
          <cell r="B124" t="str">
            <v>LVA</v>
          </cell>
          <cell r="C124" t="str">
            <v>Latvia</v>
          </cell>
        </row>
        <row r="125">
          <cell r="A125" t="str">
            <v>レバノン</v>
          </cell>
          <cell r="B125" t="str">
            <v>LBN</v>
          </cell>
          <cell r="C125" t="str">
            <v>Lebanon</v>
          </cell>
        </row>
        <row r="126">
          <cell r="A126" t="str">
            <v>レソト</v>
          </cell>
          <cell r="B126" t="str">
            <v>LSO</v>
          </cell>
          <cell r="C126" t="str">
            <v>Lesotho</v>
          </cell>
        </row>
        <row r="127">
          <cell r="A127" t="str">
            <v>リベリア</v>
          </cell>
          <cell r="B127" t="str">
            <v>LBR</v>
          </cell>
          <cell r="C127" t="str">
            <v>Liberia</v>
          </cell>
        </row>
        <row r="128">
          <cell r="A128" t="str">
            <v>リビア</v>
          </cell>
          <cell r="B128" t="str">
            <v>LBY</v>
          </cell>
          <cell r="C128" t="str">
            <v>Libya</v>
          </cell>
        </row>
        <row r="129">
          <cell r="A129" t="str">
            <v>リヒテンシュタイン</v>
          </cell>
          <cell r="B129" t="str">
            <v>LIE</v>
          </cell>
          <cell r="C129" t="str">
            <v>Liechtenstein</v>
          </cell>
        </row>
        <row r="130">
          <cell r="A130" t="str">
            <v>リトアニア</v>
          </cell>
          <cell r="B130" t="str">
            <v>LTU</v>
          </cell>
          <cell r="C130" t="str">
            <v>Lithuania</v>
          </cell>
        </row>
        <row r="131">
          <cell r="A131" t="str">
            <v>ルクセンブルク</v>
          </cell>
          <cell r="B131" t="str">
            <v>LUX</v>
          </cell>
          <cell r="C131" t="str">
            <v>Luxembourg</v>
          </cell>
        </row>
        <row r="132">
          <cell r="A132" t="str">
            <v>マカオ</v>
          </cell>
          <cell r="B132" t="str">
            <v>MAC</v>
          </cell>
          <cell r="C132" t="str">
            <v>Macao</v>
          </cell>
        </row>
        <row r="133">
          <cell r="A133" t="str">
            <v>マダガスカル</v>
          </cell>
          <cell r="B133" t="str">
            <v>MDG</v>
          </cell>
          <cell r="C133" t="str">
            <v>Madagascar</v>
          </cell>
        </row>
        <row r="134">
          <cell r="A134" t="str">
            <v>マラウイ</v>
          </cell>
          <cell r="B134" t="str">
            <v>MWI</v>
          </cell>
          <cell r="C134" t="str">
            <v>Malawi</v>
          </cell>
        </row>
        <row r="135">
          <cell r="A135" t="str">
            <v>マレーシア</v>
          </cell>
          <cell r="B135" t="str">
            <v>MYS</v>
          </cell>
          <cell r="C135" t="str">
            <v>Malaysia</v>
          </cell>
        </row>
        <row r="136">
          <cell r="A136" t="str">
            <v>モルディブ</v>
          </cell>
          <cell r="B136" t="str">
            <v>MDV</v>
          </cell>
          <cell r="C136" t="str">
            <v>Maldives</v>
          </cell>
        </row>
        <row r="137">
          <cell r="A137" t="str">
            <v>マリ</v>
          </cell>
          <cell r="B137" t="str">
            <v>MLI</v>
          </cell>
          <cell r="C137" t="str">
            <v>Mali</v>
          </cell>
        </row>
        <row r="138">
          <cell r="A138" t="str">
            <v>マルタ</v>
          </cell>
          <cell r="B138" t="str">
            <v>MLT</v>
          </cell>
          <cell r="C138" t="str">
            <v>Malta</v>
          </cell>
        </row>
        <row r="139">
          <cell r="A139" t="str">
            <v>マーシャル諸島</v>
          </cell>
          <cell r="B139" t="str">
            <v>MHL</v>
          </cell>
          <cell r="C139" t="str">
            <v>Marshall Islands</v>
          </cell>
        </row>
        <row r="140">
          <cell r="A140" t="str">
            <v>マルティニーク</v>
          </cell>
          <cell r="B140" t="str">
            <v>MTQ</v>
          </cell>
          <cell r="C140" t="str">
            <v>Martinique</v>
          </cell>
        </row>
        <row r="141">
          <cell r="A141" t="str">
            <v>モーリタニア</v>
          </cell>
          <cell r="B141" t="str">
            <v>MRT</v>
          </cell>
          <cell r="C141" t="str">
            <v>Mauritania</v>
          </cell>
        </row>
        <row r="142">
          <cell r="A142" t="str">
            <v>モーリシャス</v>
          </cell>
          <cell r="B142" t="str">
            <v>MUS</v>
          </cell>
          <cell r="C142" t="str">
            <v>Mauritius</v>
          </cell>
        </row>
        <row r="143">
          <cell r="A143" t="str">
            <v>マヨット</v>
          </cell>
          <cell r="B143" t="str">
            <v>MYT</v>
          </cell>
          <cell r="C143" t="str">
            <v>Mayotte</v>
          </cell>
        </row>
        <row r="144">
          <cell r="A144" t="str">
            <v>メキシコ</v>
          </cell>
          <cell r="B144" t="str">
            <v>MEX</v>
          </cell>
          <cell r="C144" t="str">
            <v>Mexico</v>
          </cell>
        </row>
        <row r="145">
          <cell r="A145" t="str">
            <v>ミクロネシア連邦</v>
          </cell>
          <cell r="B145" t="str">
            <v>FSM</v>
          </cell>
          <cell r="C145" t="str">
            <v>Micronesia</v>
          </cell>
        </row>
        <row r="146">
          <cell r="A146" t="str">
            <v>モルドバ</v>
          </cell>
          <cell r="B146" t="str">
            <v>MDA</v>
          </cell>
          <cell r="C146" t="str">
            <v>Moldova</v>
          </cell>
        </row>
        <row r="147">
          <cell r="A147" t="str">
            <v>モナコ</v>
          </cell>
          <cell r="B147" t="str">
            <v>MCO</v>
          </cell>
          <cell r="C147" t="str">
            <v>Monaco</v>
          </cell>
        </row>
        <row r="148">
          <cell r="A148" t="str">
            <v>モンゴル</v>
          </cell>
          <cell r="B148" t="str">
            <v>MNG</v>
          </cell>
          <cell r="C148" t="str">
            <v>Mongolia</v>
          </cell>
        </row>
        <row r="149">
          <cell r="A149" t="str">
            <v>モンテネグロ</v>
          </cell>
          <cell r="B149" t="str">
            <v>MNE</v>
          </cell>
          <cell r="C149" t="str">
            <v>Montenegro</v>
          </cell>
        </row>
        <row r="150">
          <cell r="A150" t="str">
            <v>モントセラト</v>
          </cell>
          <cell r="B150" t="str">
            <v>MSR</v>
          </cell>
          <cell r="C150" t="str">
            <v>Montserrat</v>
          </cell>
        </row>
        <row r="151">
          <cell r="A151" t="str">
            <v>モロッコ</v>
          </cell>
          <cell r="B151" t="str">
            <v>MAR</v>
          </cell>
          <cell r="C151" t="str">
            <v>Morocco</v>
          </cell>
        </row>
        <row r="152">
          <cell r="A152" t="str">
            <v>モザンビーク</v>
          </cell>
          <cell r="B152" t="str">
            <v>MOZ</v>
          </cell>
          <cell r="C152" t="str">
            <v>Mozambique</v>
          </cell>
        </row>
        <row r="153">
          <cell r="A153" t="str">
            <v>ミャンマー</v>
          </cell>
          <cell r="B153" t="str">
            <v>MMR</v>
          </cell>
          <cell r="C153" t="str">
            <v>Myanmar</v>
          </cell>
        </row>
        <row r="154">
          <cell r="A154" t="str">
            <v>ナミビア</v>
          </cell>
          <cell r="B154" t="str">
            <v>NAM</v>
          </cell>
          <cell r="C154" t="str">
            <v>Namibia</v>
          </cell>
        </row>
        <row r="155">
          <cell r="A155" t="str">
            <v>ナウル</v>
          </cell>
          <cell r="B155" t="str">
            <v>NRU</v>
          </cell>
          <cell r="C155" t="str">
            <v>Nauru</v>
          </cell>
        </row>
        <row r="156">
          <cell r="A156" t="str">
            <v>ネパール</v>
          </cell>
          <cell r="B156" t="str">
            <v>NPL</v>
          </cell>
          <cell r="C156" t="str">
            <v>Nepal</v>
          </cell>
        </row>
        <row r="157">
          <cell r="A157" t="str">
            <v>オランダ</v>
          </cell>
          <cell r="B157" t="str">
            <v>NLD</v>
          </cell>
          <cell r="C157" t="str">
            <v>Netherlands</v>
          </cell>
        </row>
        <row r="158">
          <cell r="A158" t="str">
            <v>ニューカレドニア</v>
          </cell>
          <cell r="B158" t="str">
            <v>NCL</v>
          </cell>
          <cell r="C158" t="str">
            <v>New Caledonia</v>
          </cell>
        </row>
        <row r="159">
          <cell r="A159" t="str">
            <v>ニュージーランド</v>
          </cell>
          <cell r="B159" t="str">
            <v>NZL</v>
          </cell>
          <cell r="C159" t="str">
            <v>New Zealand</v>
          </cell>
        </row>
        <row r="160">
          <cell r="A160" t="str">
            <v>ニカラグア</v>
          </cell>
          <cell r="B160" t="str">
            <v>NIC</v>
          </cell>
          <cell r="C160" t="str">
            <v>Nicaragua</v>
          </cell>
        </row>
        <row r="161">
          <cell r="A161" t="str">
            <v>ニジェール</v>
          </cell>
          <cell r="B161" t="str">
            <v>NER</v>
          </cell>
          <cell r="C161" t="str">
            <v>Niger</v>
          </cell>
        </row>
        <row r="162">
          <cell r="A162" t="str">
            <v>ナイジェリア</v>
          </cell>
          <cell r="B162" t="str">
            <v>NGA</v>
          </cell>
          <cell r="C162" t="str">
            <v>Nigeria</v>
          </cell>
        </row>
        <row r="163">
          <cell r="A163" t="str">
            <v>ニウエ</v>
          </cell>
          <cell r="B163" t="str">
            <v>NIU</v>
          </cell>
          <cell r="C163" t="str">
            <v>Niue</v>
          </cell>
        </row>
        <row r="164">
          <cell r="A164" t="str">
            <v>ノーフォーク島</v>
          </cell>
          <cell r="B164" t="str">
            <v>NFK</v>
          </cell>
          <cell r="C164" t="str">
            <v>Norfolk Island</v>
          </cell>
        </row>
        <row r="165">
          <cell r="A165" t="str">
            <v>北マケドニア</v>
          </cell>
          <cell r="B165" t="str">
            <v>MKD</v>
          </cell>
          <cell r="C165" t="str">
            <v>North Macedonia</v>
          </cell>
        </row>
        <row r="166">
          <cell r="A166" t="str">
            <v>北マリアナ諸島</v>
          </cell>
          <cell r="B166" t="str">
            <v>MNP</v>
          </cell>
          <cell r="C166" t="str">
            <v>Northern Mariana Islands</v>
          </cell>
        </row>
        <row r="167">
          <cell r="A167" t="str">
            <v>ノルウェー</v>
          </cell>
          <cell r="B167" t="str">
            <v>NOR</v>
          </cell>
          <cell r="C167" t="str">
            <v>Norway</v>
          </cell>
        </row>
        <row r="168">
          <cell r="A168" t="str">
            <v>オマーン</v>
          </cell>
          <cell r="B168" t="str">
            <v>OMN</v>
          </cell>
          <cell r="C168" t="str">
            <v>Oman</v>
          </cell>
        </row>
        <row r="169">
          <cell r="A169" t="str">
            <v>パキスタン</v>
          </cell>
          <cell r="B169" t="str">
            <v>PAK</v>
          </cell>
          <cell r="C169" t="str">
            <v>Pakistan</v>
          </cell>
        </row>
        <row r="170">
          <cell r="A170" t="str">
            <v>パラオ</v>
          </cell>
          <cell r="B170" t="str">
            <v>PLW</v>
          </cell>
          <cell r="C170" t="str">
            <v>Palau</v>
          </cell>
        </row>
        <row r="171">
          <cell r="A171" t="str">
            <v>パレスチナ</v>
          </cell>
          <cell r="B171" t="str">
            <v>PSE</v>
          </cell>
          <cell r="C171" t="str">
            <v>Palestine</v>
          </cell>
        </row>
        <row r="172">
          <cell r="A172" t="str">
            <v>パナマ</v>
          </cell>
          <cell r="B172" t="str">
            <v>PAN</v>
          </cell>
          <cell r="C172" t="str">
            <v>Panama</v>
          </cell>
        </row>
        <row r="173">
          <cell r="A173" t="str">
            <v>パプアニューギニア</v>
          </cell>
          <cell r="B173" t="str">
            <v>PNG</v>
          </cell>
          <cell r="C173" t="str">
            <v>Papua New Guinea</v>
          </cell>
        </row>
        <row r="174">
          <cell r="A174" t="str">
            <v>パラグアイ</v>
          </cell>
          <cell r="B174" t="str">
            <v>PRY</v>
          </cell>
          <cell r="C174" t="str">
            <v>Paraguay</v>
          </cell>
        </row>
        <row r="175">
          <cell r="A175" t="str">
            <v>ペルー</v>
          </cell>
          <cell r="B175" t="str">
            <v>PER</v>
          </cell>
          <cell r="C175" t="str">
            <v>Peru</v>
          </cell>
        </row>
        <row r="176">
          <cell r="A176" t="str">
            <v>フィリピン</v>
          </cell>
          <cell r="B176" t="str">
            <v>PHL</v>
          </cell>
          <cell r="C176" t="str">
            <v>Philippines</v>
          </cell>
        </row>
        <row r="177">
          <cell r="A177" t="str">
            <v>ピトケアン諸島</v>
          </cell>
          <cell r="B177" t="str">
            <v>PCN</v>
          </cell>
          <cell r="C177" t="str">
            <v>Pitcairn</v>
          </cell>
        </row>
        <row r="178">
          <cell r="A178" t="str">
            <v>ポーランド</v>
          </cell>
          <cell r="B178" t="str">
            <v>POL</v>
          </cell>
          <cell r="C178" t="str">
            <v>Poland</v>
          </cell>
        </row>
        <row r="179">
          <cell r="A179" t="str">
            <v>ポルトガル</v>
          </cell>
          <cell r="B179" t="str">
            <v>PRT</v>
          </cell>
          <cell r="C179" t="str">
            <v>Portugal</v>
          </cell>
        </row>
        <row r="180">
          <cell r="A180" t="str">
            <v>プエルトリコ</v>
          </cell>
          <cell r="B180" t="str">
            <v>PRI</v>
          </cell>
          <cell r="C180" t="str">
            <v>Puerto Rico</v>
          </cell>
        </row>
        <row r="181">
          <cell r="A181" t="str">
            <v>カタール</v>
          </cell>
          <cell r="B181" t="str">
            <v>QAT</v>
          </cell>
          <cell r="C181" t="str">
            <v>Qatar</v>
          </cell>
        </row>
        <row r="182">
          <cell r="A182" t="str">
            <v>レユニオン</v>
          </cell>
          <cell r="B182" t="str">
            <v>REU</v>
          </cell>
          <cell r="C182" t="str">
            <v>Réunion</v>
          </cell>
        </row>
        <row r="183">
          <cell r="A183" t="str">
            <v>ルーマニア</v>
          </cell>
          <cell r="B183" t="str">
            <v>ROU</v>
          </cell>
          <cell r="C183" t="str">
            <v>Romania</v>
          </cell>
        </row>
        <row r="184">
          <cell r="A184" t="str">
            <v>ロシア</v>
          </cell>
          <cell r="B184" t="str">
            <v>RUS</v>
          </cell>
          <cell r="C184" t="str">
            <v>Russian Federation</v>
          </cell>
        </row>
        <row r="185">
          <cell r="A185" t="str">
            <v>ルワンダ</v>
          </cell>
          <cell r="B185" t="str">
            <v>RWA</v>
          </cell>
          <cell r="C185" t="str">
            <v>Rwanda</v>
          </cell>
        </row>
        <row r="186">
          <cell r="A186" t="str">
            <v>サン・バルテルミー</v>
          </cell>
          <cell r="B186" t="str">
            <v>BLM</v>
          </cell>
          <cell r="C186" t="str">
            <v>Saint Barthélemy</v>
          </cell>
        </row>
        <row r="187">
          <cell r="A187" t="str">
            <v>セントヘレナ・アセンションおよびトリスタンダクーニャ</v>
          </cell>
          <cell r="B187" t="str">
            <v>SHN</v>
          </cell>
          <cell r="C187" t="str">
            <v>Saint Helena</v>
          </cell>
        </row>
        <row r="188">
          <cell r="A188" t="str">
            <v>セントクリストファー・ネーヴィス</v>
          </cell>
          <cell r="B188" t="str">
            <v>KNA</v>
          </cell>
          <cell r="C188" t="str">
            <v>Saint Kitts and Nevis</v>
          </cell>
        </row>
        <row r="189">
          <cell r="A189" t="str">
            <v>セントルシア</v>
          </cell>
          <cell r="B189" t="str">
            <v>LCA</v>
          </cell>
          <cell r="C189" t="str">
            <v>Saint Lucia</v>
          </cell>
        </row>
        <row r="190">
          <cell r="A190" t="str">
            <v>サン・マルタン（フランス領）</v>
          </cell>
          <cell r="B190" t="str">
            <v>MAF</v>
          </cell>
          <cell r="C190" t="str">
            <v>Saint Martin (French part)</v>
          </cell>
        </row>
        <row r="191">
          <cell r="A191" t="str">
            <v>サンピエール島・ミクロン島</v>
          </cell>
          <cell r="B191" t="str">
            <v>SPM</v>
          </cell>
          <cell r="C191" t="str">
            <v>Saint Pierre and Miquelon</v>
          </cell>
        </row>
        <row r="192">
          <cell r="A192" t="str">
            <v>セントビンセントおよびグレナディーン諸島</v>
          </cell>
          <cell r="B192" t="str">
            <v>VCT</v>
          </cell>
          <cell r="C192" t="str">
            <v>Saint Vincent and the Grenadines</v>
          </cell>
        </row>
        <row r="193">
          <cell r="A193" t="str">
            <v>サモア</v>
          </cell>
          <cell r="B193" t="str">
            <v>WSM</v>
          </cell>
          <cell r="C193" t="str">
            <v>Samoa</v>
          </cell>
        </row>
        <row r="194">
          <cell r="A194" t="str">
            <v>サンマリノ</v>
          </cell>
          <cell r="B194" t="str">
            <v>SMR</v>
          </cell>
          <cell r="C194" t="str">
            <v>San Marino</v>
          </cell>
        </row>
        <row r="195">
          <cell r="A195" t="str">
            <v>サントメ・プリンシペ</v>
          </cell>
          <cell r="B195" t="str">
            <v>STP</v>
          </cell>
          <cell r="C195" t="str">
            <v>Sao Tome and Principe</v>
          </cell>
        </row>
        <row r="196">
          <cell r="A196" t="str">
            <v>サウジアラビア</v>
          </cell>
          <cell r="B196" t="str">
            <v>SAU</v>
          </cell>
          <cell r="C196" t="str">
            <v>Saudi Arabia</v>
          </cell>
        </row>
        <row r="197">
          <cell r="A197" t="str">
            <v>セネガル</v>
          </cell>
          <cell r="B197" t="str">
            <v>SEN</v>
          </cell>
          <cell r="C197" t="str">
            <v>Senegal</v>
          </cell>
        </row>
        <row r="198">
          <cell r="A198" t="str">
            <v>セルビア</v>
          </cell>
          <cell r="B198" t="str">
            <v>SRB</v>
          </cell>
          <cell r="C198" t="str">
            <v>Serbia</v>
          </cell>
        </row>
        <row r="199">
          <cell r="A199" t="str">
            <v>セーシェル</v>
          </cell>
          <cell r="B199" t="str">
            <v>SYC</v>
          </cell>
          <cell r="C199" t="str">
            <v>Seychelles</v>
          </cell>
        </row>
        <row r="200">
          <cell r="A200" t="str">
            <v>シエラレオネ</v>
          </cell>
          <cell r="B200" t="str">
            <v>SLE</v>
          </cell>
          <cell r="C200" t="str">
            <v>Sierra Leone</v>
          </cell>
        </row>
        <row r="201">
          <cell r="A201" t="str">
            <v>シンガポール</v>
          </cell>
          <cell r="B201" t="str">
            <v>SGP</v>
          </cell>
          <cell r="C201" t="str">
            <v>Singapore</v>
          </cell>
        </row>
        <row r="202">
          <cell r="A202" t="str">
            <v>シント・マールテン</v>
          </cell>
          <cell r="B202" t="str">
            <v>SXM</v>
          </cell>
          <cell r="C202" t="str">
            <v>Sint Maarten (Dutch part)</v>
          </cell>
        </row>
        <row r="203">
          <cell r="A203" t="str">
            <v>スロバキア</v>
          </cell>
          <cell r="B203" t="str">
            <v>SVK</v>
          </cell>
          <cell r="C203" t="str">
            <v>Slovakia</v>
          </cell>
        </row>
        <row r="204">
          <cell r="A204" t="str">
            <v>スロベニア</v>
          </cell>
          <cell r="B204" t="str">
            <v>SVN</v>
          </cell>
          <cell r="C204" t="str">
            <v>Slovenia</v>
          </cell>
        </row>
        <row r="205">
          <cell r="A205" t="str">
            <v>ソロモン諸島</v>
          </cell>
          <cell r="B205" t="str">
            <v>SLB</v>
          </cell>
          <cell r="C205" t="str">
            <v>Solomon Islands</v>
          </cell>
        </row>
        <row r="206">
          <cell r="A206" t="str">
            <v>ソマリア</v>
          </cell>
          <cell r="B206" t="str">
            <v>SOM</v>
          </cell>
          <cell r="C206" t="str">
            <v>Somalia</v>
          </cell>
        </row>
        <row r="207">
          <cell r="A207" t="str">
            <v>南アフリカ</v>
          </cell>
          <cell r="B207" t="str">
            <v>ZAF</v>
          </cell>
          <cell r="C207" t="str">
            <v>South Africa</v>
          </cell>
        </row>
        <row r="208">
          <cell r="A208" t="str">
            <v>サウスジョージア・サウスサンドウィッチ諸島</v>
          </cell>
          <cell r="B208" t="str">
            <v>SGS</v>
          </cell>
          <cell r="C208" t="str">
            <v>South Georgia and the South Sandwich Islands</v>
          </cell>
        </row>
        <row r="209">
          <cell r="A209" t="str">
            <v>南スーダン</v>
          </cell>
          <cell r="B209" t="str">
            <v>SSD</v>
          </cell>
          <cell r="C209" t="str">
            <v>South Sudan</v>
          </cell>
        </row>
        <row r="210">
          <cell r="A210" t="str">
            <v>スペイン</v>
          </cell>
          <cell r="B210" t="str">
            <v>ESP</v>
          </cell>
          <cell r="C210" t="str">
            <v>Spain</v>
          </cell>
        </row>
        <row r="211">
          <cell r="A211" t="str">
            <v>スリランカ</v>
          </cell>
          <cell r="B211" t="str">
            <v>LKA</v>
          </cell>
          <cell r="C211" t="str">
            <v>Sri Lanka</v>
          </cell>
        </row>
        <row r="212">
          <cell r="A212" t="str">
            <v>スーダン</v>
          </cell>
          <cell r="B212" t="str">
            <v>SDN</v>
          </cell>
          <cell r="C212" t="str">
            <v>Sudan</v>
          </cell>
        </row>
        <row r="213">
          <cell r="A213" t="str">
            <v>スリナム</v>
          </cell>
          <cell r="B213" t="str">
            <v>SUR</v>
          </cell>
          <cell r="C213" t="str">
            <v>Suriname</v>
          </cell>
        </row>
        <row r="214">
          <cell r="A214" t="str">
            <v>スヴァールバル諸島およびヤンマイエン島</v>
          </cell>
          <cell r="B214" t="str">
            <v>SJM</v>
          </cell>
          <cell r="C214" t="str">
            <v>Svalbard and Jan Mayen</v>
          </cell>
        </row>
        <row r="215">
          <cell r="A215" t="str">
            <v>スウェーデン</v>
          </cell>
          <cell r="B215" t="str">
            <v>SWE</v>
          </cell>
          <cell r="C215" t="str">
            <v>Sweden</v>
          </cell>
        </row>
        <row r="216">
          <cell r="A216" t="str">
            <v>スイス</v>
          </cell>
          <cell r="B216" t="str">
            <v>CHE</v>
          </cell>
          <cell r="C216" t="str">
            <v>Switzerland</v>
          </cell>
        </row>
        <row r="217">
          <cell r="A217" t="str">
            <v>シリア</v>
          </cell>
          <cell r="B217" t="str">
            <v>SYR</v>
          </cell>
          <cell r="C217" t="str">
            <v>Syrian Arab Republic</v>
          </cell>
        </row>
        <row r="218">
          <cell r="A218" t="str">
            <v>台湾</v>
          </cell>
          <cell r="B218" t="str">
            <v>TWN</v>
          </cell>
          <cell r="C218" t="str">
            <v>Taiwan</v>
          </cell>
        </row>
        <row r="219">
          <cell r="A219" t="str">
            <v>タジキスタン</v>
          </cell>
          <cell r="B219" t="str">
            <v>TJK</v>
          </cell>
          <cell r="C219" t="str">
            <v>Tajikistan</v>
          </cell>
        </row>
        <row r="220">
          <cell r="A220" t="str">
            <v>タンザニア</v>
          </cell>
          <cell r="B220" t="str">
            <v>TZA</v>
          </cell>
          <cell r="C220" t="str">
            <v>Tanzania</v>
          </cell>
        </row>
        <row r="221">
          <cell r="A221" t="str">
            <v>タイ</v>
          </cell>
          <cell r="B221" t="str">
            <v>THA</v>
          </cell>
          <cell r="C221" t="str">
            <v>Thailand</v>
          </cell>
        </row>
        <row r="222">
          <cell r="A222" t="str">
            <v>東ティモール</v>
          </cell>
          <cell r="B222" t="str">
            <v>TLS</v>
          </cell>
          <cell r="C222" t="str">
            <v>Timor-Leste</v>
          </cell>
        </row>
        <row r="223">
          <cell r="A223" t="str">
            <v>トーゴ</v>
          </cell>
          <cell r="B223" t="str">
            <v>TGO</v>
          </cell>
          <cell r="C223" t="str">
            <v>Togo</v>
          </cell>
        </row>
        <row r="224">
          <cell r="A224" t="str">
            <v>トケラウ</v>
          </cell>
          <cell r="B224" t="str">
            <v>TKL</v>
          </cell>
          <cell r="C224" t="str">
            <v>Tokelau</v>
          </cell>
        </row>
        <row r="225">
          <cell r="A225" t="str">
            <v>トンガ</v>
          </cell>
          <cell r="B225" t="str">
            <v>TON</v>
          </cell>
          <cell r="C225" t="str">
            <v>Tonga</v>
          </cell>
        </row>
        <row r="226">
          <cell r="A226" t="str">
            <v>トリニダード・トバゴ</v>
          </cell>
          <cell r="B226" t="str">
            <v>TTO</v>
          </cell>
          <cell r="C226" t="str">
            <v>Trinidad and Tobago</v>
          </cell>
        </row>
        <row r="227">
          <cell r="A227" t="str">
            <v>チュニジア</v>
          </cell>
          <cell r="B227" t="str">
            <v>TUN</v>
          </cell>
          <cell r="C227" t="str">
            <v>Tunisia</v>
          </cell>
        </row>
        <row r="228">
          <cell r="A228" t="str">
            <v>トルコ</v>
          </cell>
          <cell r="B228" t="str">
            <v>TUR</v>
          </cell>
          <cell r="C228" t="str">
            <v>Türkiye</v>
          </cell>
        </row>
        <row r="229">
          <cell r="A229" t="str">
            <v>トルクメニスタン</v>
          </cell>
          <cell r="B229" t="str">
            <v>TKM</v>
          </cell>
          <cell r="C229" t="str">
            <v>Turkmenistan</v>
          </cell>
        </row>
        <row r="230">
          <cell r="A230" t="str">
            <v>タークス・カイコス諸島</v>
          </cell>
          <cell r="B230" t="str">
            <v>TCA</v>
          </cell>
          <cell r="C230" t="str">
            <v>Turks and Caicos Islands</v>
          </cell>
        </row>
        <row r="231">
          <cell r="A231" t="str">
            <v>ツバル</v>
          </cell>
          <cell r="B231" t="str">
            <v>TUV</v>
          </cell>
          <cell r="C231" t="str">
            <v>Tuvalu</v>
          </cell>
        </row>
        <row r="232">
          <cell r="A232" t="str">
            <v>ウガンダ</v>
          </cell>
          <cell r="B232" t="str">
            <v>UGA</v>
          </cell>
          <cell r="C232" t="str">
            <v>Uganda</v>
          </cell>
        </row>
        <row r="233">
          <cell r="A233" t="str">
            <v>ウクライナ</v>
          </cell>
          <cell r="B233" t="str">
            <v>UKR</v>
          </cell>
          <cell r="C233" t="str">
            <v>Ukraine</v>
          </cell>
        </row>
        <row r="234">
          <cell r="A234" t="str">
            <v>UAE</v>
          </cell>
          <cell r="B234" t="str">
            <v>ARE</v>
          </cell>
          <cell r="C234" t="str">
            <v>United Arab Emirates</v>
          </cell>
        </row>
        <row r="235">
          <cell r="A235" t="str">
            <v>イギリス</v>
          </cell>
          <cell r="B235" t="str">
            <v>GBR</v>
          </cell>
          <cell r="C235" t="str">
            <v>Britain</v>
          </cell>
        </row>
        <row r="236">
          <cell r="A236" t="str">
            <v>アメリカ</v>
          </cell>
          <cell r="B236" t="str">
            <v>USA</v>
          </cell>
          <cell r="C236" t="str">
            <v>America</v>
          </cell>
        </row>
        <row r="237">
          <cell r="A237" t="str">
            <v>合衆国外諸島</v>
          </cell>
          <cell r="B237" t="str">
            <v>UMI</v>
          </cell>
          <cell r="C237" t="str">
            <v>United States Minor Outlying Islands</v>
          </cell>
        </row>
        <row r="238">
          <cell r="A238" t="str">
            <v>ウルグアイ</v>
          </cell>
          <cell r="B238" t="str">
            <v>URY</v>
          </cell>
          <cell r="C238" t="str">
            <v>Uruguay</v>
          </cell>
        </row>
        <row r="239">
          <cell r="A239" t="str">
            <v>ウズベキスタン</v>
          </cell>
          <cell r="B239" t="str">
            <v>UZB</v>
          </cell>
          <cell r="C239" t="str">
            <v>Uzbekistan</v>
          </cell>
        </row>
        <row r="240">
          <cell r="A240" t="str">
            <v>バヌアツ</v>
          </cell>
          <cell r="B240" t="str">
            <v>VUT</v>
          </cell>
          <cell r="C240" t="str">
            <v>Vanuatu</v>
          </cell>
        </row>
        <row r="241">
          <cell r="A241" t="str">
            <v>ベネズエラ</v>
          </cell>
          <cell r="B241" t="str">
            <v>VEN</v>
          </cell>
          <cell r="C241" t="str">
            <v>Venezuela</v>
          </cell>
        </row>
        <row r="242">
          <cell r="A242" t="str">
            <v>ベトナム</v>
          </cell>
          <cell r="B242" t="str">
            <v>VNM</v>
          </cell>
          <cell r="C242" t="str">
            <v>Viet Nam</v>
          </cell>
        </row>
        <row r="243">
          <cell r="A243" t="str">
            <v>ウォリス・フツナ</v>
          </cell>
          <cell r="B243" t="str">
            <v>WLF</v>
          </cell>
          <cell r="C243" t="str">
            <v>Wallis and Futuna</v>
          </cell>
        </row>
        <row r="244">
          <cell r="A244" t="str">
            <v>西サハラ</v>
          </cell>
          <cell r="B244" t="str">
            <v>ESH</v>
          </cell>
          <cell r="C244" t="str">
            <v>Western Sahara</v>
          </cell>
        </row>
        <row r="245">
          <cell r="A245" t="str">
            <v>イエメン</v>
          </cell>
          <cell r="B245" t="str">
            <v>YEM</v>
          </cell>
          <cell r="C245" t="str">
            <v>Yemen</v>
          </cell>
        </row>
        <row r="246">
          <cell r="A246" t="str">
            <v>ザンビア</v>
          </cell>
          <cell r="B246" t="str">
            <v>ZMB</v>
          </cell>
          <cell r="C246" t="str">
            <v>Zambia</v>
          </cell>
        </row>
        <row r="247">
          <cell r="A247" t="str">
            <v>ジンバブエ</v>
          </cell>
          <cell r="B247" t="str">
            <v>ZWE</v>
          </cell>
          <cell r="C247" t="str">
            <v>Zimbabwe</v>
          </cell>
        </row>
        <row r="248">
          <cell r="A248" t="str">
            <v>CPTPP</v>
          </cell>
          <cell r="B248" t="str">
            <v>CPTPP</v>
          </cell>
          <cell r="C248" t="str">
            <v>Comprehensive and Progressive Agreement for Trans-Pacific Partnership</v>
          </cell>
        </row>
        <row r="249">
          <cell r="A249" t="str">
            <v>欧州連合</v>
          </cell>
          <cell r="B249" t="str">
            <v>EU</v>
          </cell>
          <cell r="C249" t="str">
            <v>EU</v>
          </cell>
        </row>
        <row r="250">
          <cell r="A250" t="str">
            <v>コソボ</v>
          </cell>
          <cell r="B250" t="str">
            <v>XKK</v>
          </cell>
          <cell r="C250" t="str">
            <v>Kosovo</v>
          </cell>
        </row>
      </sheetData>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ww.bloomberg.com/news/articles/2026-04-24/us-sanctions-china-refinery-iran-shadow-fleet-ahead-of-talks?srnd=phx-politic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53815-6F7F-462F-8165-5CE05A98A928}">
  <dimension ref="A1:V46"/>
  <sheetViews>
    <sheetView tabSelected="1" zoomScale="85" zoomScaleNormal="85" workbookViewId="0">
      <pane ySplit="1" topLeftCell="A3" activePane="bottomLeft" state="frozen"/>
      <selection pane="bottomLeft" activeCell="U26" sqref="U26"/>
    </sheetView>
  </sheetViews>
  <sheetFormatPr defaultRowHeight="16.2"/>
  <cols>
    <col min="1" max="2" width="8.796875" style="3"/>
    <col min="3" max="6" width="8.796875" style="4"/>
    <col min="7" max="7" width="8.796875" style="8"/>
    <col min="8" max="8" width="8.796875" style="4"/>
    <col min="9" max="9" width="8.796875" style="8"/>
    <col min="10" max="12" width="8.796875" style="4"/>
    <col min="13" max="16" width="8.796875" style="3"/>
    <col min="17" max="18" width="8.796875" style="4"/>
    <col min="19" max="19" width="10.19921875" style="5" bestFit="1" customWidth="1"/>
    <col min="20" max="16384" width="8.796875" style="4"/>
  </cols>
  <sheetData>
    <row r="1" spans="1:22">
      <c r="A1" s="3" t="s">
        <v>0</v>
      </c>
      <c r="B1" s="3" t="s">
        <v>1</v>
      </c>
      <c r="C1" s="4" t="s">
        <v>2</v>
      </c>
      <c r="D1" s="4" t="s">
        <v>3</v>
      </c>
      <c r="E1" s="4" t="s">
        <v>4</v>
      </c>
      <c r="F1" s="4" t="s">
        <v>51</v>
      </c>
      <c r="G1" s="8" t="s">
        <v>52</v>
      </c>
      <c r="H1" s="4" t="s">
        <v>53</v>
      </c>
      <c r="I1" s="8" t="s">
        <v>5</v>
      </c>
      <c r="J1" s="4" t="s">
        <v>6</v>
      </c>
      <c r="K1" s="4" t="s">
        <v>7</v>
      </c>
      <c r="L1" s="4" t="s">
        <v>8</v>
      </c>
      <c r="M1" s="3" t="s">
        <v>9</v>
      </c>
      <c r="N1" s="3" t="s">
        <v>10</v>
      </c>
      <c r="O1" s="3" t="s">
        <v>11</v>
      </c>
      <c r="P1" s="3" t="s">
        <v>12</v>
      </c>
      <c r="Q1" s="4" t="s">
        <v>13</v>
      </c>
      <c r="R1" s="4" t="s">
        <v>14</v>
      </c>
      <c r="S1" s="5" t="s">
        <v>15</v>
      </c>
      <c r="T1" s="4" t="s">
        <v>16</v>
      </c>
      <c r="U1" s="4" t="s">
        <v>17</v>
      </c>
      <c r="V1" s="4" t="s">
        <v>18</v>
      </c>
    </row>
    <row r="2" spans="1:22">
      <c r="A2" s="3" t="str">
        <f>IF(C2="","",VLOOKUP(C2,[1]ISO辞書!A:C,2,FALSE))</f>
        <v>USA</v>
      </c>
      <c r="B2" s="1" t="str">
        <f>IF(C2="","",VLOOKUP(C2,[1]ISO辞書!A:C,3,FALSE))</f>
        <v>America</v>
      </c>
      <c r="C2" s="4" t="s">
        <v>56</v>
      </c>
      <c r="D2" s="4" t="s">
        <v>57</v>
      </c>
      <c r="E2" s="4" t="s">
        <v>58</v>
      </c>
      <c r="F2" s="4" t="s">
        <v>59</v>
      </c>
      <c r="H2" s="4" t="s">
        <v>61</v>
      </c>
      <c r="M2" s="3" t="str">
        <f>IF(J2="","",VLOOKUP(J2,[1]ISO辞書!A:B,2,FALSE))</f>
        <v/>
      </c>
      <c r="N2" s="3" t="str">
        <f>IF(K2="","",VLOOKUP(K2,[1]ISO辞書!A:B,2,FALSE))</f>
        <v/>
      </c>
      <c r="O2" s="3" t="str">
        <f>IF(L2="","",VLOOKUP(L2,[1]ISO辞書!A:B,2,FALSE))</f>
        <v/>
      </c>
      <c r="P2" s="1" t="str">
        <f t="shared" ref="P2:P46" si="0">_xlfn.TEXTJOIN(";",TRUE,M2:O2)</f>
        <v/>
      </c>
      <c r="Q2" s="4" t="s">
        <v>60</v>
      </c>
      <c r="R2" s="4" t="s">
        <v>24</v>
      </c>
      <c r="S2" s="5">
        <v>46138</v>
      </c>
      <c r="T2" s="4" t="s">
        <v>54</v>
      </c>
      <c r="U2" s="6" t="s">
        <v>55</v>
      </c>
      <c r="V2" s="4">
        <v>4</v>
      </c>
    </row>
    <row r="3" spans="1:22">
      <c r="A3" s="3" t="str">
        <f>IF(C3="","",VLOOKUP(C3,[1]ISO辞書!A:C,2,FALSE))</f>
        <v>USA</v>
      </c>
      <c r="B3" s="1" t="str">
        <f>IF(C3="","",VLOOKUP(C3,[1]ISO辞書!A:C,3,FALSE))</f>
        <v>America</v>
      </c>
      <c r="C3" s="4" t="s">
        <v>56</v>
      </c>
      <c r="D3" s="4" t="s">
        <v>62</v>
      </c>
      <c r="E3" s="4" t="s">
        <v>65</v>
      </c>
      <c r="F3" s="4" t="s">
        <v>66</v>
      </c>
      <c r="H3" s="4" t="s">
        <v>67</v>
      </c>
      <c r="J3" s="4" t="s">
        <v>63</v>
      </c>
      <c r="K3" s="4" t="s">
        <v>68</v>
      </c>
      <c r="M3" s="3" t="str">
        <f>IF(J3="","",VLOOKUP(J3,[1]ISO辞書!A:B,2,FALSE))</f>
        <v>IRN</v>
      </c>
      <c r="N3" s="3" t="str">
        <f>IF(K3="","",VLOOKUP(K3,[1]ISO辞書!A:B,2,FALSE))</f>
        <v>PAK</v>
      </c>
      <c r="O3" s="3" t="str">
        <f>IF(L3="","",VLOOKUP(L3,[1]ISO辞書!A:B,2,FALSE))</f>
        <v/>
      </c>
      <c r="P3" s="1" t="str">
        <f t="shared" si="0"/>
        <v>IRN;PAK</v>
      </c>
      <c r="Q3" s="7" t="s">
        <v>69</v>
      </c>
      <c r="R3" s="4" t="s">
        <v>21</v>
      </c>
      <c r="S3" s="5">
        <v>46137</v>
      </c>
      <c r="T3" s="4" t="s">
        <v>54</v>
      </c>
      <c r="U3" s="4" t="s">
        <v>64</v>
      </c>
      <c r="V3" s="4">
        <v>5</v>
      </c>
    </row>
    <row r="4" spans="1:22">
      <c r="A4" s="3" t="str">
        <f>IF(C4="","",VLOOKUP(C4,[1]ISO辞書!A:C,2,FALSE))</f>
        <v>USA</v>
      </c>
      <c r="B4" s="1" t="str">
        <f>IF(C4="","",VLOOKUP(C4,[1]ISO辞書!A:C,3,FALSE))</f>
        <v>America</v>
      </c>
      <c r="C4" s="4" t="s">
        <v>56</v>
      </c>
      <c r="D4" s="4" t="s">
        <v>70</v>
      </c>
      <c r="E4" s="4" t="s">
        <v>72</v>
      </c>
      <c r="F4" s="4" t="s">
        <v>73</v>
      </c>
      <c r="H4" s="4" t="s">
        <v>74</v>
      </c>
      <c r="M4" s="3" t="str">
        <f>IF(J4="","",VLOOKUP(J4,[1]ISO辞書!A:B,2,FALSE))</f>
        <v/>
      </c>
      <c r="N4" s="3" t="str">
        <f>IF(K4="","",VLOOKUP(K4,[1]ISO辞書!A:B,2,FALSE))</f>
        <v/>
      </c>
      <c r="O4" s="3" t="str">
        <f>IF(L4="","",VLOOKUP(L4,[1]ISO辞書!A:B,2,FALSE))</f>
        <v/>
      </c>
      <c r="P4" s="1" t="str">
        <f t="shared" si="0"/>
        <v/>
      </c>
      <c r="Q4" s="4" t="s">
        <v>75</v>
      </c>
      <c r="R4" s="4" t="s">
        <v>24</v>
      </c>
      <c r="S4" s="5">
        <v>46137</v>
      </c>
      <c r="T4" s="4" t="s">
        <v>54</v>
      </c>
      <c r="U4" s="4" t="s">
        <v>71</v>
      </c>
      <c r="V4" s="4">
        <v>5</v>
      </c>
    </row>
    <row r="5" spans="1:22">
      <c r="A5" s="3" t="str">
        <f>IF(C5="","",VLOOKUP(C5,[1]ISO辞書!A:C,2,FALSE))</f>
        <v>USA</v>
      </c>
      <c r="B5" s="1" t="str">
        <f>IF(C5="","",VLOOKUP(C5,[1]ISO辞書!A:C,3,FALSE))</f>
        <v>America</v>
      </c>
      <c r="C5" s="4" t="s">
        <v>56</v>
      </c>
      <c r="D5" s="4" t="s">
        <v>78</v>
      </c>
      <c r="E5" s="4" t="s">
        <v>77</v>
      </c>
      <c r="F5" s="4" t="s">
        <v>79</v>
      </c>
      <c r="H5" s="4" t="s">
        <v>80</v>
      </c>
      <c r="J5" s="4" t="s">
        <v>63</v>
      </c>
      <c r="M5" s="3" t="str">
        <f>IF(J5="","",VLOOKUP(J5,[1]ISO辞書!A:B,2,FALSE))</f>
        <v>IRN</v>
      </c>
      <c r="N5" s="3" t="str">
        <f>IF(K5="","",VLOOKUP(K5,[1]ISO辞書!A:B,2,FALSE))</f>
        <v/>
      </c>
      <c r="O5" s="3" t="str">
        <f>IF(L5="","",VLOOKUP(L5,[1]ISO辞書!A:B,2,FALSE))</f>
        <v/>
      </c>
      <c r="P5" s="1" t="str">
        <f t="shared" si="0"/>
        <v>IRN</v>
      </c>
      <c r="Q5" s="4" t="s">
        <v>81</v>
      </c>
      <c r="R5" s="4" t="s">
        <v>22</v>
      </c>
      <c r="S5" s="5">
        <v>46138</v>
      </c>
      <c r="T5" s="4" t="s">
        <v>54</v>
      </c>
      <c r="U5" s="4" t="s">
        <v>76</v>
      </c>
      <c r="V5" s="4">
        <v>5</v>
      </c>
    </row>
    <row r="6" spans="1:22">
      <c r="A6" s="3" t="str">
        <f>IF(C6="","",VLOOKUP(C6,[1]ISO辞書!A:C,2,FALSE))</f>
        <v>CHN</v>
      </c>
      <c r="B6" s="1" t="str">
        <f>IF(C6="","",VLOOKUP(C6,[1]ISO辞書!A:C,3,FALSE))</f>
        <v>China</v>
      </c>
      <c r="C6" s="4" t="s">
        <v>82</v>
      </c>
      <c r="D6" s="4" t="s">
        <v>83</v>
      </c>
      <c r="E6" s="4" t="s">
        <v>86</v>
      </c>
      <c r="F6" s="4" t="s">
        <v>87</v>
      </c>
      <c r="H6" s="4" t="s">
        <v>88</v>
      </c>
      <c r="J6" s="4" t="s">
        <v>84</v>
      </c>
      <c r="M6" s="3" t="str">
        <f>IF(J6="","",VLOOKUP(J6,[1]ISO辞書!A:B,2,FALSE))</f>
        <v>MMR</v>
      </c>
      <c r="N6" s="3" t="str">
        <f>IF(K6="","",VLOOKUP(K6,[1]ISO辞書!A:B,2,FALSE))</f>
        <v/>
      </c>
      <c r="O6" s="3" t="str">
        <f>IF(L6="","",VLOOKUP(L6,[1]ISO辞書!A:B,2,FALSE))</f>
        <v/>
      </c>
      <c r="P6" s="1" t="str">
        <f t="shared" si="0"/>
        <v>MMR</v>
      </c>
      <c r="Q6" s="4" t="s">
        <v>89</v>
      </c>
      <c r="R6" s="4" t="s">
        <v>21</v>
      </c>
      <c r="S6" s="5">
        <v>46137</v>
      </c>
      <c r="T6" s="4" t="s">
        <v>54</v>
      </c>
      <c r="U6" s="4" t="s">
        <v>85</v>
      </c>
      <c r="V6" s="4">
        <v>3</v>
      </c>
    </row>
    <row r="7" spans="1:22">
      <c r="A7" s="3" t="str">
        <f>IF(C7="","",VLOOKUP(C7,[1]ISO辞書!A:C,2,FALSE))</f>
        <v>FRA</v>
      </c>
      <c r="B7" s="1" t="str">
        <f>IF(C7="","",VLOOKUP(C7,[1]ISO辞書!A:C,3,FALSE))</f>
        <v>France</v>
      </c>
      <c r="C7" s="4" t="s">
        <v>90</v>
      </c>
      <c r="D7" s="4" t="s">
        <v>91</v>
      </c>
      <c r="E7" s="4" t="s">
        <v>93</v>
      </c>
      <c r="F7" s="4" t="s">
        <v>94</v>
      </c>
      <c r="H7" s="4" t="s">
        <v>95</v>
      </c>
      <c r="J7" s="4" t="s">
        <v>96</v>
      </c>
      <c r="M7" s="3" t="str">
        <f>IF(J7="","",VLOOKUP(J7,[1]ISO辞書!A:B,2,FALSE))</f>
        <v>GRC</v>
      </c>
      <c r="N7" s="3" t="str">
        <f>IF(K7="","",VLOOKUP(K7,[1]ISO辞書!A:B,2,FALSE))</f>
        <v/>
      </c>
      <c r="O7" s="3" t="str">
        <f>IF(L7="","",VLOOKUP(L7,[1]ISO辞書!A:B,2,FALSE))</f>
        <v/>
      </c>
      <c r="P7" s="1" t="str">
        <f t="shared" si="0"/>
        <v>GRC</v>
      </c>
      <c r="Q7" s="4" t="s">
        <v>97</v>
      </c>
      <c r="R7" s="4" t="s">
        <v>21</v>
      </c>
      <c r="S7" s="5">
        <v>46137</v>
      </c>
      <c r="T7" s="4" t="s">
        <v>54</v>
      </c>
      <c r="U7" s="4" t="s">
        <v>92</v>
      </c>
      <c r="V7" s="4">
        <v>4</v>
      </c>
    </row>
    <row r="8" spans="1:22">
      <c r="A8" s="3" t="str">
        <f>IF(C8="","",VLOOKUP(C8,[1]ISO辞書!A:C,2,FALSE))</f>
        <v>MLI</v>
      </c>
      <c r="B8" s="1" t="str">
        <f>IF(C8="","",VLOOKUP(C8,[1]ISO辞書!A:C,3,FALSE))</f>
        <v>Mali</v>
      </c>
      <c r="C8" s="4" t="s">
        <v>98</v>
      </c>
      <c r="D8" s="4" t="s">
        <v>99</v>
      </c>
      <c r="E8" s="4" t="s">
        <v>100</v>
      </c>
      <c r="F8" s="4" t="s">
        <v>101</v>
      </c>
      <c r="H8" s="4" t="s">
        <v>102</v>
      </c>
      <c r="M8" s="3" t="str">
        <f>IF(J8="","",VLOOKUP(J8,[1]ISO辞書!A:B,2,FALSE))</f>
        <v/>
      </c>
      <c r="N8" s="3" t="str">
        <f>IF(K8="","",VLOOKUP(K8,[1]ISO辞書!A:B,2,FALSE))</f>
        <v/>
      </c>
      <c r="O8" s="3" t="str">
        <f>IF(L8="","",VLOOKUP(L8,[1]ISO辞書!A:B,2,FALSE))</f>
        <v/>
      </c>
      <c r="P8" s="1" t="str">
        <f t="shared" si="0"/>
        <v/>
      </c>
      <c r="Q8" s="4" t="s">
        <v>103</v>
      </c>
      <c r="R8" s="4" t="s">
        <v>22</v>
      </c>
      <c r="S8" s="5">
        <v>46137</v>
      </c>
      <c r="T8" s="4" t="s">
        <v>54</v>
      </c>
      <c r="U8" s="4" t="s">
        <v>104</v>
      </c>
      <c r="V8" s="4">
        <v>3</v>
      </c>
    </row>
    <row r="9" spans="1:22" ht="18">
      <c r="A9" s="3" t="str">
        <f>IF(C9="","",VLOOKUP(C9,[1]ISO辞書!A:C,2,FALSE))</f>
        <v>USA</v>
      </c>
      <c r="B9" s="1" t="str">
        <f>IF(C9="","",VLOOKUP(C9,[1]ISO辞書!A:C,3,FALSE))</f>
        <v>America</v>
      </c>
      <c r="C9" s="4" t="s">
        <v>56</v>
      </c>
      <c r="D9" s="4" t="s">
        <v>106</v>
      </c>
      <c r="E9" s="4" t="s">
        <v>105</v>
      </c>
      <c r="F9" s="4" t="s">
        <v>107</v>
      </c>
      <c r="H9" s="4" t="s">
        <v>108</v>
      </c>
      <c r="J9" s="4" t="s">
        <v>82</v>
      </c>
      <c r="M9" s="3" t="str">
        <f>IF(J9="","",VLOOKUP(J9,[1]ISO辞書!A:B,2,FALSE))</f>
        <v>CHN</v>
      </c>
      <c r="N9" s="3" t="str">
        <f>IF(K9="","",VLOOKUP(K9,[1]ISO辞書!A:B,2,FALSE))</f>
        <v/>
      </c>
      <c r="O9" s="3" t="str">
        <f>IF(L9="","",VLOOKUP(L9,[1]ISO辞書!A:B,2,FALSE))</f>
        <v/>
      </c>
      <c r="P9" s="1" t="str">
        <f t="shared" si="0"/>
        <v>CHN</v>
      </c>
      <c r="Q9" s="4" t="s">
        <v>109</v>
      </c>
      <c r="R9" s="4" t="s">
        <v>21</v>
      </c>
      <c r="S9" s="5">
        <v>46136</v>
      </c>
      <c r="T9" s="4" t="s">
        <v>54</v>
      </c>
      <c r="U9" s="2" t="s">
        <v>112</v>
      </c>
      <c r="V9" s="4">
        <v>3</v>
      </c>
    </row>
    <row r="10" spans="1:22">
      <c r="A10" s="3" t="str">
        <f>IF(C10="","",VLOOKUP(C10,[1]ISO辞書!A:C,2,FALSE))</f>
        <v>GBR</v>
      </c>
      <c r="B10" s="1" t="str">
        <f>IF(C10="","",VLOOKUP(C10,[1]ISO辞書!A:C,3,FALSE))</f>
        <v>Britain</v>
      </c>
      <c r="C10" s="4" t="s">
        <v>110</v>
      </c>
      <c r="D10" s="4" t="s">
        <v>111</v>
      </c>
      <c r="E10" s="4" t="s">
        <v>113</v>
      </c>
      <c r="F10" s="4" t="s">
        <v>114</v>
      </c>
      <c r="H10" s="4" t="s">
        <v>115</v>
      </c>
      <c r="M10" s="3" t="str">
        <f>IF(J10="","",VLOOKUP(J10,[1]ISO辞書!A:B,2,FALSE))</f>
        <v/>
      </c>
      <c r="N10" s="3" t="str">
        <f>IF(K10="","",VLOOKUP(K10,[1]ISO辞書!A:B,2,FALSE))</f>
        <v/>
      </c>
      <c r="O10" s="3" t="str">
        <f>IF(L10="","",VLOOKUP(L10,[1]ISO辞書!A:B,2,FALSE))</f>
        <v/>
      </c>
      <c r="P10" s="1" t="str">
        <f t="shared" si="0"/>
        <v/>
      </c>
      <c r="Q10" s="4" t="s">
        <v>116</v>
      </c>
      <c r="R10" s="4" t="s">
        <v>24</v>
      </c>
      <c r="S10" s="5">
        <v>46136</v>
      </c>
      <c r="T10" s="4" t="s">
        <v>54</v>
      </c>
      <c r="U10" s="4" t="s">
        <v>117</v>
      </c>
      <c r="V10" s="4">
        <v>2</v>
      </c>
    </row>
    <row r="11" spans="1:22">
      <c r="A11" s="3" t="str">
        <f>IF(C11="","",VLOOKUP(C11,[1]ISO辞書!A:C,2,FALSE))</f>
        <v>UKR</v>
      </c>
      <c r="B11" s="1" t="str">
        <f>IF(C11="","",VLOOKUP(C11,[1]ISO辞書!A:C,3,FALSE))</f>
        <v>Ukraine</v>
      </c>
      <c r="C11" s="4" t="s">
        <v>118</v>
      </c>
      <c r="D11" s="4" t="s">
        <v>119</v>
      </c>
      <c r="E11" s="4" t="s">
        <v>121</v>
      </c>
      <c r="F11" s="4" t="s">
        <v>122</v>
      </c>
      <c r="H11" s="4" t="s">
        <v>123</v>
      </c>
      <c r="J11" s="4" t="s">
        <v>124</v>
      </c>
      <c r="M11" s="3" t="str">
        <f>IF(J11="","",VLOOKUP(J11,[1]ISO辞書!A:B,2,FALSE))</f>
        <v>RUS</v>
      </c>
      <c r="N11" s="3" t="str">
        <f>IF(K11="","",VLOOKUP(K11,[1]ISO辞書!A:B,2,FALSE))</f>
        <v/>
      </c>
      <c r="O11" s="3" t="str">
        <f>IF(L11="","",VLOOKUP(L11,[1]ISO辞書!A:B,2,FALSE))</f>
        <v/>
      </c>
      <c r="P11" s="1" t="str">
        <f t="shared" si="0"/>
        <v>RUS</v>
      </c>
      <c r="Q11" s="4" t="s">
        <v>125</v>
      </c>
      <c r="R11" s="4" t="s">
        <v>22</v>
      </c>
      <c r="S11" s="5">
        <v>46136</v>
      </c>
      <c r="T11" s="4" t="s">
        <v>54</v>
      </c>
      <c r="U11" s="4" t="s">
        <v>120</v>
      </c>
      <c r="V11" s="4">
        <v>2</v>
      </c>
    </row>
    <row r="12" spans="1:22">
      <c r="A12" s="3" t="str">
        <f>IF(C12="","",VLOOKUP(C12,[1]ISO辞書!A:C,2,FALSE))</f>
        <v>QAT</v>
      </c>
      <c r="B12" s="1" t="str">
        <f>IF(C12="","",VLOOKUP(C12,[1]ISO辞書!A:C,3,FALSE))</f>
        <v>Qatar</v>
      </c>
      <c r="C12" s="4" t="s">
        <v>127</v>
      </c>
      <c r="D12" s="4" t="s">
        <v>129</v>
      </c>
      <c r="E12" s="4" t="s">
        <v>130</v>
      </c>
      <c r="F12" s="4" t="s">
        <v>131</v>
      </c>
      <c r="H12" s="4" t="s">
        <v>132</v>
      </c>
      <c r="J12" s="4" t="s">
        <v>56</v>
      </c>
      <c r="M12" s="3" t="str">
        <f>IF(J12="","",VLOOKUP(J12,[1]ISO辞書!A:B,2,FALSE))</f>
        <v>USA</v>
      </c>
      <c r="N12" s="3" t="str">
        <f>IF(K12="","",VLOOKUP(K12,[1]ISO辞書!A:B,2,FALSE))</f>
        <v/>
      </c>
      <c r="O12" s="3" t="str">
        <f>IF(L12="","",VLOOKUP(L12,[1]ISO辞書!A:B,2,FALSE))</f>
        <v/>
      </c>
      <c r="P12" s="1" t="str">
        <f t="shared" si="0"/>
        <v>USA</v>
      </c>
      <c r="Q12" s="4" t="s">
        <v>133</v>
      </c>
      <c r="R12" s="4" t="s">
        <v>21</v>
      </c>
      <c r="S12" s="5">
        <v>46136</v>
      </c>
      <c r="T12" s="4" t="s">
        <v>128</v>
      </c>
      <c r="U12" s="4" t="s">
        <v>126</v>
      </c>
      <c r="V12" s="4">
        <v>3</v>
      </c>
    </row>
    <row r="13" spans="1:22">
      <c r="A13" s="3" t="str">
        <f>IF(C13="","",VLOOKUP(C13,[1]ISO辞書!A:C,2,FALSE))</f>
        <v>TUR</v>
      </c>
      <c r="B13" s="1" t="str">
        <f>IF(C13="","",VLOOKUP(C13,[1]ISO辞書!A:C,3,FALSE))</f>
        <v>Türkiye</v>
      </c>
      <c r="C13" s="4" t="s">
        <v>135</v>
      </c>
      <c r="D13" s="4" t="s">
        <v>136</v>
      </c>
      <c r="E13" s="4" t="s">
        <v>137</v>
      </c>
      <c r="F13" s="4" t="s">
        <v>138</v>
      </c>
      <c r="H13" s="4" t="s">
        <v>139</v>
      </c>
      <c r="M13" s="3" t="str">
        <f>IF(J13="","",VLOOKUP(J13,[1]ISO辞書!A:B,2,FALSE))</f>
        <v/>
      </c>
      <c r="N13" s="3" t="str">
        <f>IF(K13="","",VLOOKUP(K13,[1]ISO辞書!A:B,2,FALSE))</f>
        <v/>
      </c>
      <c r="O13" s="3" t="str">
        <f>IF(L13="","",VLOOKUP(L13,[1]ISO辞書!A:B,2,FALSE))</f>
        <v/>
      </c>
      <c r="P13" s="1" t="str">
        <f t="shared" si="0"/>
        <v/>
      </c>
      <c r="Q13" s="4" t="s">
        <v>140</v>
      </c>
      <c r="R13" s="4" t="s">
        <v>24</v>
      </c>
      <c r="S13" s="5">
        <v>46135</v>
      </c>
      <c r="T13" s="4" t="s">
        <v>128</v>
      </c>
      <c r="U13" s="4" t="s">
        <v>134</v>
      </c>
      <c r="V13" s="4">
        <v>1</v>
      </c>
    </row>
    <row r="14" spans="1:22">
      <c r="A14" s="3" t="str">
        <f>IF(C14="","",VLOOKUP(C14,[1]ISO辞書!A:C,2,FALSE))</f>
        <v>USA</v>
      </c>
      <c r="B14" s="1" t="str">
        <f>IF(C14="","",VLOOKUP(C14,[1]ISO辞書!A:C,3,FALSE))</f>
        <v>America</v>
      </c>
      <c r="C14" s="4" t="s">
        <v>56</v>
      </c>
      <c r="D14" s="4" t="s">
        <v>142</v>
      </c>
      <c r="E14" s="4" t="s">
        <v>143</v>
      </c>
      <c r="F14" s="4" t="s">
        <v>144</v>
      </c>
      <c r="H14" s="4" t="s">
        <v>145</v>
      </c>
      <c r="J14" s="4" t="s">
        <v>146</v>
      </c>
      <c r="K14" s="4" t="s">
        <v>147</v>
      </c>
      <c r="M14" s="3" t="str">
        <f>IF(J14="","",VLOOKUP(J14,[1]ISO辞書!A:B,2,FALSE))</f>
        <v>LBN</v>
      </c>
      <c r="N14" s="3" t="str">
        <f>IF(K14="","",VLOOKUP(K14,[1]ISO辞書!A:B,2,FALSE))</f>
        <v>ISR</v>
      </c>
      <c r="O14" s="3" t="str">
        <f>IF(L14="","",VLOOKUP(L14,[1]ISO辞書!A:B,2,FALSE))</f>
        <v/>
      </c>
      <c r="P14" s="1" t="str">
        <f t="shared" si="0"/>
        <v>LBN;ISR</v>
      </c>
      <c r="Q14" s="4" t="s">
        <v>148</v>
      </c>
      <c r="R14" s="4" t="s">
        <v>21</v>
      </c>
      <c r="S14" s="5">
        <v>46135</v>
      </c>
      <c r="T14" s="4" t="s">
        <v>128</v>
      </c>
      <c r="U14" s="4" t="s">
        <v>141</v>
      </c>
      <c r="V14" s="4">
        <v>5</v>
      </c>
    </row>
    <row r="15" spans="1:22">
      <c r="A15" s="3" t="str">
        <f>IF(C15="","",VLOOKUP(C15,[1]ISO辞書!A:C,2,FALSE))</f>
        <v>IRN</v>
      </c>
      <c r="B15" s="1" t="str">
        <f>IF(C15="","",VLOOKUP(C15,[1]ISO辞書!A:C,3,FALSE))</f>
        <v>Iran</v>
      </c>
      <c r="C15" s="4" t="s">
        <v>63</v>
      </c>
      <c r="D15" s="4" t="s">
        <v>149</v>
      </c>
      <c r="E15" s="4" t="s">
        <v>151</v>
      </c>
      <c r="F15" s="4" t="s">
        <v>152</v>
      </c>
      <c r="H15" s="4" t="s">
        <v>153</v>
      </c>
      <c r="J15" s="4" t="s">
        <v>56</v>
      </c>
      <c r="M15" s="3" t="str">
        <f>IF(J15="","",VLOOKUP(J15,[1]ISO辞書!A:B,2,FALSE))</f>
        <v>USA</v>
      </c>
      <c r="N15" s="3" t="str">
        <f>IF(K15="","",VLOOKUP(K15,[1]ISO辞書!A:B,2,FALSE))</f>
        <v/>
      </c>
      <c r="O15" s="3" t="str">
        <f>IF(L15="","",VLOOKUP(L15,[1]ISO辞書!A:B,2,FALSE))</f>
        <v/>
      </c>
      <c r="P15" s="1" t="str">
        <f t="shared" si="0"/>
        <v>USA</v>
      </c>
      <c r="Q15" s="4" t="s">
        <v>154</v>
      </c>
      <c r="R15" s="4" t="s">
        <v>22</v>
      </c>
      <c r="S15" s="5">
        <v>46134</v>
      </c>
      <c r="T15" s="4" t="s">
        <v>128</v>
      </c>
      <c r="U15" s="4" t="s">
        <v>150</v>
      </c>
      <c r="V15" s="4">
        <v>4</v>
      </c>
    </row>
    <row r="16" spans="1:22">
      <c r="A16" s="3" t="str">
        <f>IF(C16="","",VLOOKUP(C16,[1]ISO辞書!A:C,2,FALSE))</f>
        <v>LBN</v>
      </c>
      <c r="B16" s="1" t="str">
        <f>IF(C16="","",VLOOKUP(C16,[1]ISO辞書!A:C,3,FALSE))</f>
        <v>Lebanon</v>
      </c>
      <c r="C16" s="4" t="s">
        <v>146</v>
      </c>
      <c r="D16" s="4" t="s">
        <v>155</v>
      </c>
      <c r="E16" s="4" t="s">
        <v>157</v>
      </c>
      <c r="F16" s="4" t="s">
        <v>158</v>
      </c>
      <c r="H16" s="4" t="s">
        <v>159</v>
      </c>
      <c r="J16" s="4" t="s">
        <v>147</v>
      </c>
      <c r="K16" s="4" t="s">
        <v>56</v>
      </c>
      <c r="M16" s="3" t="str">
        <f>IF(J16="","",VLOOKUP(J16,[1]ISO辞書!A:B,2,FALSE))</f>
        <v>ISR</v>
      </c>
      <c r="N16" s="3" t="str">
        <f>IF(K16="","",VLOOKUP(K16,[1]ISO辞書!A:B,2,FALSE))</f>
        <v>USA</v>
      </c>
      <c r="O16" s="3" t="str">
        <f>IF(L16="","",VLOOKUP(L16,[1]ISO辞書!A:B,2,FALSE))</f>
        <v/>
      </c>
      <c r="P16" s="1" t="str">
        <f t="shared" si="0"/>
        <v>ISR;USA</v>
      </c>
      <c r="Q16" s="4" t="s">
        <v>160</v>
      </c>
      <c r="R16" s="4" t="s">
        <v>22</v>
      </c>
      <c r="S16" s="5">
        <v>46133</v>
      </c>
      <c r="T16" s="4" t="s">
        <v>128</v>
      </c>
      <c r="U16" s="4" t="s">
        <v>156</v>
      </c>
      <c r="V16" s="4">
        <v>4</v>
      </c>
    </row>
    <row r="17" spans="1:22">
      <c r="A17" s="3" t="str">
        <f>IF(C17="","",VLOOKUP(C17,[1]ISO辞書!A:C,2,FALSE))</f>
        <v>NGA</v>
      </c>
      <c r="B17" s="1" t="str">
        <f>IF(C17="","",VLOOKUP(C17,[1]ISO辞書!A:C,3,FALSE))</f>
        <v>Nigeria</v>
      </c>
      <c r="C17" s="4" t="s">
        <v>161</v>
      </c>
      <c r="D17" s="4" t="s">
        <v>163</v>
      </c>
      <c r="E17" s="4" t="s">
        <v>164</v>
      </c>
      <c r="F17" s="4" t="s">
        <v>165</v>
      </c>
      <c r="M17" s="3" t="str">
        <f>IF(J17="","",VLOOKUP(J17,[1]ISO辞書!A:B,2,FALSE))</f>
        <v/>
      </c>
      <c r="N17" s="3" t="str">
        <f>IF(K17="","",VLOOKUP(K17,[1]ISO辞書!A:B,2,FALSE))</f>
        <v/>
      </c>
      <c r="O17" s="3" t="str">
        <f>IF(L17="","",VLOOKUP(L17,[1]ISO辞書!A:B,2,FALSE))</f>
        <v/>
      </c>
      <c r="P17" s="1" t="str">
        <f t="shared" si="0"/>
        <v/>
      </c>
      <c r="Q17" s="4" t="s">
        <v>166</v>
      </c>
      <c r="R17" s="4" t="s">
        <v>24</v>
      </c>
      <c r="S17" s="5">
        <v>46133</v>
      </c>
      <c r="T17" s="4" t="s">
        <v>128</v>
      </c>
      <c r="U17" s="4" t="s">
        <v>162</v>
      </c>
      <c r="V17" s="4">
        <v>1</v>
      </c>
    </row>
    <row r="18" spans="1:22">
      <c r="A18" s="3" t="str">
        <f>IF(C18="","",VLOOKUP(C18,[1]ISO辞書!A:C,2,FALSE))</f>
        <v>BRA</v>
      </c>
      <c r="B18" s="1" t="str">
        <f>IF(C18="","",VLOOKUP(C18,[1]ISO辞書!A:C,3,FALSE))</f>
        <v>Brazil</v>
      </c>
      <c r="C18" s="4" t="s">
        <v>167</v>
      </c>
      <c r="D18" s="4" t="s">
        <v>169</v>
      </c>
      <c r="E18" s="4" t="s">
        <v>170</v>
      </c>
      <c r="F18" s="4" t="s">
        <v>171</v>
      </c>
      <c r="H18" s="4" t="s">
        <v>172</v>
      </c>
      <c r="J18" s="4" t="s">
        <v>56</v>
      </c>
      <c r="M18" s="3" t="str">
        <f>IF(J18="","",VLOOKUP(J18,[1]ISO辞書!A:B,2,FALSE))</f>
        <v>USA</v>
      </c>
      <c r="N18" s="3" t="str">
        <f>IF(K18="","",VLOOKUP(K18,[1]ISO辞書!A:B,2,FALSE))</f>
        <v/>
      </c>
      <c r="O18" s="3" t="str">
        <f>IF(L18="","",VLOOKUP(L18,[1]ISO辞書!A:B,2,FALSE))</f>
        <v/>
      </c>
      <c r="P18" s="1" t="str">
        <f t="shared" si="0"/>
        <v>USA</v>
      </c>
      <c r="Q18" s="4" t="s">
        <v>173</v>
      </c>
      <c r="R18" s="4" t="s">
        <v>21</v>
      </c>
      <c r="S18" s="5">
        <v>46134</v>
      </c>
      <c r="T18" s="4" t="s">
        <v>128</v>
      </c>
      <c r="U18" s="4" t="s">
        <v>168</v>
      </c>
      <c r="V18" s="4">
        <v>3</v>
      </c>
    </row>
    <row r="19" spans="1:22">
      <c r="A19" s="3" t="str">
        <f>IF(C19="","",VLOOKUP(C19,[1]ISO辞書!A:C,2,FALSE))</f>
        <v>RUS</v>
      </c>
      <c r="B19" s="1" t="str">
        <f>IF(C19="","",VLOOKUP(C19,[1]ISO辞書!A:C,3,FALSE))</f>
        <v>Russian Federation</v>
      </c>
      <c r="C19" s="4" t="s">
        <v>124</v>
      </c>
      <c r="D19" s="4" t="s">
        <v>174</v>
      </c>
      <c r="E19" s="4" t="s">
        <v>177</v>
      </c>
      <c r="F19" s="4" t="s">
        <v>178</v>
      </c>
      <c r="J19" s="4" t="s">
        <v>175</v>
      </c>
      <c r="M19" s="3" t="str">
        <f>IF(J19="","",VLOOKUP(J19,[1]ISO辞書!A:B,2,FALSE))</f>
        <v>PRK</v>
      </c>
      <c r="N19" s="3" t="str">
        <f>IF(K19="","",VLOOKUP(K19,[1]ISO辞書!A:B,2,FALSE))</f>
        <v/>
      </c>
      <c r="O19" s="3" t="str">
        <f>IF(L19="","",VLOOKUP(L19,[1]ISO辞書!A:B,2,FALSE))</f>
        <v/>
      </c>
      <c r="P19" s="1" t="str">
        <f t="shared" si="0"/>
        <v>PRK</v>
      </c>
      <c r="Q19" s="4" t="s">
        <v>179</v>
      </c>
      <c r="R19" s="4" t="s">
        <v>21</v>
      </c>
      <c r="S19" s="5">
        <v>46137</v>
      </c>
      <c r="T19" s="4" t="s">
        <v>128</v>
      </c>
      <c r="U19" s="4" t="s">
        <v>176</v>
      </c>
      <c r="V19" s="4">
        <v>2</v>
      </c>
    </row>
    <row r="20" spans="1:22">
      <c r="A20" s="3" t="str">
        <f>IF(C20="","",VLOOKUP(C20,[1]ISO辞書!A:C,2,FALSE))</f>
        <v>PHL</v>
      </c>
      <c r="B20" s="1" t="str">
        <f>IF(C20="","",VLOOKUP(C20,[1]ISO辞書!A:C,3,FALSE))</f>
        <v>Philippines</v>
      </c>
      <c r="C20" s="4" t="s">
        <v>181</v>
      </c>
      <c r="D20" s="4" t="s">
        <v>182</v>
      </c>
      <c r="E20" s="4" t="s">
        <v>183</v>
      </c>
      <c r="F20" s="4" t="s">
        <v>184</v>
      </c>
      <c r="H20" s="4" t="s">
        <v>185</v>
      </c>
      <c r="M20" s="3" t="str">
        <f>IF(J20="","",VLOOKUP(J20,[1]ISO辞書!A:B,2,FALSE))</f>
        <v/>
      </c>
      <c r="N20" s="3" t="str">
        <f>IF(K20="","",VLOOKUP(K20,[1]ISO辞書!A:B,2,FALSE))</f>
        <v/>
      </c>
      <c r="O20" s="3" t="str">
        <f>IF(L20="","",VLOOKUP(L20,[1]ISO辞書!A:B,2,FALSE))</f>
        <v/>
      </c>
      <c r="P20" s="1" t="str">
        <f t="shared" si="0"/>
        <v/>
      </c>
      <c r="Q20" s="4" t="s">
        <v>186</v>
      </c>
      <c r="R20" s="4" t="s">
        <v>21</v>
      </c>
      <c r="S20" s="5">
        <v>46135</v>
      </c>
      <c r="T20" s="4" t="s">
        <v>128</v>
      </c>
      <c r="U20" s="4" t="s">
        <v>180</v>
      </c>
      <c r="V20" s="4">
        <v>3</v>
      </c>
    </row>
    <row r="21" spans="1:22">
      <c r="A21" s="3" t="str">
        <f>IF(C21="","",VLOOKUP(C21,[1]ISO辞書!A:C,2,FALSE))</f>
        <v>KOR</v>
      </c>
      <c r="B21" s="1" t="str">
        <f>IF(C21="","",VLOOKUP(C21,[1]ISO辞書!A:C,3,FALSE))</f>
        <v>Korea</v>
      </c>
      <c r="C21" s="4" t="s">
        <v>187</v>
      </c>
      <c r="D21" s="4" t="s">
        <v>188</v>
      </c>
      <c r="E21" s="4" t="s">
        <v>190</v>
      </c>
      <c r="F21" s="4" t="s">
        <v>191</v>
      </c>
      <c r="H21" s="4" t="s">
        <v>192</v>
      </c>
      <c r="J21" s="4" t="s">
        <v>193</v>
      </c>
      <c r="M21" s="3" t="str">
        <f>IF(J21="","",VLOOKUP(J21,[1]ISO辞書!A:B,2,FALSE))</f>
        <v>VNM</v>
      </c>
      <c r="N21" s="3" t="str">
        <f>IF(K21="","",VLOOKUP(K21,[1]ISO辞書!A:B,2,FALSE))</f>
        <v/>
      </c>
      <c r="O21" s="3" t="str">
        <f>IF(L21="","",VLOOKUP(L21,[1]ISO辞書!A:B,2,FALSE))</f>
        <v/>
      </c>
      <c r="P21" s="1" t="str">
        <f t="shared" si="0"/>
        <v>VNM</v>
      </c>
      <c r="Q21" s="4" t="s">
        <v>194</v>
      </c>
      <c r="R21" s="4" t="s">
        <v>21</v>
      </c>
      <c r="S21" s="5">
        <v>46135</v>
      </c>
      <c r="T21" s="4" t="s">
        <v>128</v>
      </c>
      <c r="U21" s="4" t="s">
        <v>189</v>
      </c>
      <c r="V21" s="4">
        <v>3</v>
      </c>
    </row>
    <row r="22" spans="1:22">
      <c r="A22" s="3" t="str">
        <f>IF(C22="","",VLOOKUP(C22,[1]ISO辞書!A:C,2,FALSE))</f>
        <v>DEU</v>
      </c>
      <c r="B22" s="1" t="str">
        <f>IF(C22="","",VLOOKUP(C22,[1]ISO辞書!A:C,3,FALSE))</f>
        <v>Germany</v>
      </c>
      <c r="C22" s="4" t="s">
        <v>195</v>
      </c>
      <c r="D22" s="4" t="s">
        <v>196</v>
      </c>
      <c r="E22" s="4" t="s">
        <v>197</v>
      </c>
      <c r="F22" s="4" t="s">
        <v>198</v>
      </c>
      <c r="H22" s="4" t="s">
        <v>199</v>
      </c>
      <c r="M22" s="3" t="str">
        <f>IF(J22="","",VLOOKUP(J22,[1]ISO辞書!A:B,2,FALSE))</f>
        <v/>
      </c>
      <c r="N22" s="3" t="str">
        <f>IF(K22="","",VLOOKUP(K22,[1]ISO辞書!A:B,2,FALSE))</f>
        <v/>
      </c>
      <c r="O22" s="3" t="str">
        <f>IF(L22="","",VLOOKUP(L22,[1]ISO辞書!A:B,2,FALSE))</f>
        <v/>
      </c>
      <c r="P22" s="1" t="str">
        <f t="shared" si="0"/>
        <v/>
      </c>
      <c r="Q22" s="4" t="s">
        <v>200</v>
      </c>
      <c r="R22" s="4" t="s">
        <v>24</v>
      </c>
      <c r="S22" s="5">
        <v>46137</v>
      </c>
      <c r="T22" s="4" t="s">
        <v>128</v>
      </c>
      <c r="U22" s="4" t="s">
        <v>201</v>
      </c>
      <c r="V22" s="4">
        <v>4</v>
      </c>
    </row>
    <row r="23" spans="1:22">
      <c r="A23" s="3" t="str">
        <f>IF(C23="","",VLOOKUP(C23,[1]ISO辞書!A:C,2,FALSE))</f>
        <v>UKR</v>
      </c>
      <c r="B23" s="1" t="str">
        <f>IF(C23="","",VLOOKUP(C23,[1]ISO辞書!A:C,3,FALSE))</f>
        <v>Ukraine</v>
      </c>
      <c r="C23" s="4" t="s">
        <v>118</v>
      </c>
      <c r="D23" s="4" t="s">
        <v>202</v>
      </c>
      <c r="E23" s="4" t="s">
        <v>204</v>
      </c>
      <c r="F23" s="4" t="s">
        <v>205</v>
      </c>
      <c r="H23" s="4" t="s">
        <v>206</v>
      </c>
      <c r="J23" s="4" t="s">
        <v>207</v>
      </c>
      <c r="M23" s="3" t="str">
        <f>IF(J23="","",VLOOKUP(J23,[1]ISO辞書!A:B,2,FALSE))</f>
        <v>SAU</v>
      </c>
      <c r="N23" s="3" t="str">
        <f>IF(K23="","",VLOOKUP(K23,[1]ISO辞書!A:B,2,FALSE))</f>
        <v/>
      </c>
      <c r="O23" s="3" t="str">
        <f>IF(L23="","",VLOOKUP(L23,[1]ISO辞書!A:B,2,FALSE))</f>
        <v/>
      </c>
      <c r="P23" s="1" t="str">
        <f t="shared" si="0"/>
        <v>SAU</v>
      </c>
      <c r="Q23" s="4" t="s">
        <v>208</v>
      </c>
      <c r="R23" s="4" t="s">
        <v>21</v>
      </c>
      <c r="S23" s="5">
        <v>46136</v>
      </c>
      <c r="T23" s="4" t="s">
        <v>128</v>
      </c>
      <c r="U23" s="4" t="s">
        <v>203</v>
      </c>
      <c r="V23" s="4">
        <v>4</v>
      </c>
    </row>
    <row r="24" spans="1:22">
      <c r="A24" s="3" t="str">
        <f>IF(C24="","",VLOOKUP(C24,[1]ISO辞書!A:C,2,FALSE))</f>
        <v>USA</v>
      </c>
      <c r="B24" s="1" t="str">
        <f>IF(C24="","",VLOOKUP(C24,[1]ISO辞書!A:C,3,FALSE))</f>
        <v>America</v>
      </c>
      <c r="C24" s="4" t="s">
        <v>56</v>
      </c>
      <c r="D24" s="4" t="s">
        <v>209</v>
      </c>
      <c r="E24" s="4" t="s">
        <v>210</v>
      </c>
      <c r="F24" s="4" t="s">
        <v>211</v>
      </c>
      <c r="H24" s="4" t="s">
        <v>212</v>
      </c>
      <c r="J24" s="4" t="s">
        <v>213</v>
      </c>
      <c r="M24" s="3" t="str">
        <f>IF(J24="","",VLOOKUP(J24,[1]ISO辞書!A:B,2,FALSE))</f>
        <v>NLD</v>
      </c>
      <c r="N24" s="3" t="str">
        <f>IF(K24="","",VLOOKUP(K24,[1]ISO辞書!A:B,2,FALSE))</f>
        <v/>
      </c>
      <c r="O24" s="3" t="str">
        <f>IF(L24="","",VLOOKUP(L24,[1]ISO辞書!A:B,2,FALSE))</f>
        <v/>
      </c>
      <c r="P24" s="1" t="str">
        <f t="shared" si="0"/>
        <v>NLD</v>
      </c>
      <c r="Q24" s="4" t="s">
        <v>214</v>
      </c>
      <c r="R24" s="4" t="s">
        <v>21</v>
      </c>
      <c r="S24" s="5">
        <v>46134</v>
      </c>
      <c r="T24" s="4" t="s">
        <v>128</v>
      </c>
      <c r="U24" s="4" t="s">
        <v>215</v>
      </c>
      <c r="V24" s="4">
        <v>3</v>
      </c>
    </row>
    <row r="25" spans="1:22">
      <c r="A25" s="3" t="str">
        <f>IF(C25="","",VLOOKUP(C25,[1]ISO辞書!A:C,2,FALSE))</f>
        <v>EU</v>
      </c>
      <c r="B25" s="1" t="str">
        <f>IF(C25="","",VLOOKUP(C25,[1]ISO辞書!A:C,3,FALSE))</f>
        <v>EU</v>
      </c>
      <c r="C25" s="4" t="s">
        <v>216</v>
      </c>
      <c r="D25" s="4" t="s">
        <v>217</v>
      </c>
      <c r="E25" s="4" t="s">
        <v>218</v>
      </c>
      <c r="F25" s="4" t="s">
        <v>219</v>
      </c>
      <c r="H25" s="4" t="s">
        <v>220</v>
      </c>
      <c r="J25" s="4" t="s">
        <v>124</v>
      </c>
      <c r="M25" s="3" t="str">
        <f>IF(J25="","",VLOOKUP(J25,[1]ISO辞書!A:B,2,FALSE))</f>
        <v>RUS</v>
      </c>
      <c r="N25" s="3" t="str">
        <f>IF(K25="","",VLOOKUP(K25,[1]ISO辞書!A:B,2,FALSE))</f>
        <v/>
      </c>
      <c r="O25" s="3" t="str">
        <f>IF(L25="","",VLOOKUP(L25,[1]ISO辞書!A:B,2,FALSE))</f>
        <v/>
      </c>
      <c r="P25" s="1" t="str">
        <f t="shared" si="0"/>
        <v>RUS</v>
      </c>
      <c r="Q25" s="4" t="s">
        <v>221</v>
      </c>
      <c r="R25" s="4" t="s">
        <v>21</v>
      </c>
      <c r="S25" s="5">
        <v>46133</v>
      </c>
      <c r="T25" s="4" t="s">
        <v>128</v>
      </c>
      <c r="U25" s="4" t="s">
        <v>222</v>
      </c>
      <c r="V25" s="4">
        <v>3</v>
      </c>
    </row>
    <row r="26" spans="1:22">
      <c r="A26" s="3" t="str">
        <f>IF(C26="","",VLOOKUP(C26,[1]ISO辞書!A:C,2,FALSE))</f>
        <v>JPN</v>
      </c>
      <c r="B26" s="1" t="str">
        <f>IF(C26="","",VLOOKUP(C26,[1]ISO辞書!A:C,3,FALSE))</f>
        <v>Japan</v>
      </c>
      <c r="C26" s="4" t="s">
        <v>223</v>
      </c>
      <c r="D26" s="4" t="s">
        <v>224</v>
      </c>
      <c r="E26" s="4" t="s">
        <v>225</v>
      </c>
      <c r="F26" s="4" t="s">
        <v>226</v>
      </c>
      <c r="H26" s="4" t="s">
        <v>227</v>
      </c>
      <c r="M26" s="3" t="str">
        <f>IF(J26="","",VLOOKUP(J26,[1]ISO辞書!A:B,2,FALSE))</f>
        <v/>
      </c>
      <c r="N26" s="3" t="str">
        <f>IF(K26="","",VLOOKUP(K26,[1]ISO辞書!A:B,2,FALSE))</f>
        <v/>
      </c>
      <c r="O26" s="3" t="str">
        <f>IF(L26="","",VLOOKUP(L26,[1]ISO辞書!A:B,2,FALSE))</f>
        <v/>
      </c>
      <c r="P26" s="1" t="str">
        <f t="shared" si="0"/>
        <v/>
      </c>
      <c r="Q26" s="4" t="s">
        <v>228</v>
      </c>
      <c r="R26" s="4" t="s">
        <v>24</v>
      </c>
      <c r="S26" s="5">
        <v>46133</v>
      </c>
      <c r="T26" s="4" t="s">
        <v>128</v>
      </c>
      <c r="U26" s="4" t="s">
        <v>229</v>
      </c>
      <c r="V26" s="4">
        <v>5</v>
      </c>
    </row>
    <row r="27" spans="1:22">
      <c r="A27" s="3" t="str">
        <f>IF(C27="","",VLOOKUP(C27,[1]ISO辞書!A:C,2,FALSE))</f>
        <v/>
      </c>
      <c r="B27" s="1" t="str">
        <f>IF(C27="","",VLOOKUP(C27,[1]ISO辞書!A:C,3,FALSE))</f>
        <v/>
      </c>
      <c r="M27" s="3" t="str">
        <f>IF(J27="","",VLOOKUP(J27,[1]ISO辞書!A:B,2,FALSE))</f>
        <v/>
      </c>
      <c r="N27" s="3" t="str">
        <f>IF(K27="","",VLOOKUP(K27,[1]ISO辞書!A:B,2,FALSE))</f>
        <v/>
      </c>
      <c r="O27" s="3" t="str">
        <f>IF(L27="","",VLOOKUP(L27,[1]ISO辞書!A:B,2,FALSE))</f>
        <v/>
      </c>
      <c r="P27" s="1" t="str">
        <f t="shared" si="0"/>
        <v/>
      </c>
    </row>
    <row r="28" spans="1:22">
      <c r="A28" s="3" t="str">
        <f>IF(C28="","",VLOOKUP(C28,[1]ISO辞書!A:C,2,FALSE))</f>
        <v/>
      </c>
      <c r="B28" s="1" t="str">
        <f>IF(C28="","",VLOOKUP(C28,[1]ISO辞書!A:C,3,FALSE))</f>
        <v/>
      </c>
      <c r="M28" s="3" t="str">
        <f>IF(J28="","",VLOOKUP(J28,[1]ISO辞書!A:B,2,FALSE))</f>
        <v/>
      </c>
      <c r="N28" s="3" t="str">
        <f>IF(K28="","",VLOOKUP(K28,[1]ISO辞書!A:B,2,FALSE))</f>
        <v/>
      </c>
      <c r="O28" s="3" t="str">
        <f>IF(L28="","",VLOOKUP(L28,[1]ISO辞書!A:B,2,FALSE))</f>
        <v/>
      </c>
      <c r="P28" s="1" t="str">
        <f t="shared" si="0"/>
        <v/>
      </c>
    </row>
    <row r="29" spans="1:22">
      <c r="A29" s="3" t="str">
        <f>IF(C29="","",VLOOKUP(C29,[1]ISO辞書!A:C,2,FALSE))</f>
        <v/>
      </c>
      <c r="B29" s="1" t="str">
        <f>IF(C29="","",VLOOKUP(C29,[1]ISO辞書!A:C,3,FALSE))</f>
        <v/>
      </c>
      <c r="M29" s="3" t="str">
        <f>IF(J29="","",VLOOKUP(J29,[1]ISO辞書!A:B,2,FALSE))</f>
        <v/>
      </c>
      <c r="N29" s="3" t="str">
        <f>IF(K29="","",VLOOKUP(K29,[1]ISO辞書!A:B,2,FALSE))</f>
        <v/>
      </c>
      <c r="O29" s="3" t="str">
        <f>IF(L29="","",VLOOKUP(L29,[1]ISO辞書!A:B,2,FALSE))</f>
        <v/>
      </c>
      <c r="P29" s="1" t="str">
        <f t="shared" si="0"/>
        <v/>
      </c>
    </row>
    <row r="30" spans="1:22">
      <c r="A30" s="3" t="str">
        <f>IF(C30="","",VLOOKUP(C30,[1]ISO辞書!A:C,2,FALSE))</f>
        <v/>
      </c>
      <c r="B30" s="1" t="str">
        <f>IF(C30="","",VLOOKUP(C30,[1]ISO辞書!A:C,3,FALSE))</f>
        <v/>
      </c>
      <c r="M30" s="3" t="str">
        <f>IF(J30="","",VLOOKUP(J30,[1]ISO辞書!A:B,2,FALSE))</f>
        <v/>
      </c>
      <c r="N30" s="3" t="str">
        <f>IF(K30="","",VLOOKUP(K30,[1]ISO辞書!A:B,2,FALSE))</f>
        <v/>
      </c>
      <c r="O30" s="3" t="str">
        <f>IF(L30="","",VLOOKUP(L30,[1]ISO辞書!A:B,2,FALSE))</f>
        <v/>
      </c>
      <c r="P30" s="1" t="str">
        <f t="shared" si="0"/>
        <v/>
      </c>
    </row>
    <row r="31" spans="1:22">
      <c r="A31" s="3" t="str">
        <f>IF(C31="","",VLOOKUP(C31,[1]ISO辞書!A:C,2,FALSE))</f>
        <v/>
      </c>
      <c r="B31" s="1" t="str">
        <f>IF(C31="","",VLOOKUP(C31,[1]ISO辞書!A:C,3,FALSE))</f>
        <v/>
      </c>
      <c r="M31" s="3" t="str">
        <f>IF(J31="","",VLOOKUP(J31,[1]ISO辞書!A:B,2,FALSE))</f>
        <v/>
      </c>
      <c r="N31" s="3" t="str">
        <f>IF(K31="","",VLOOKUP(K31,[1]ISO辞書!A:B,2,FALSE))</f>
        <v/>
      </c>
      <c r="O31" s="3" t="str">
        <f>IF(L31="","",VLOOKUP(L31,[1]ISO辞書!A:B,2,FALSE))</f>
        <v/>
      </c>
      <c r="P31" s="1" t="str">
        <f t="shared" si="0"/>
        <v/>
      </c>
    </row>
    <row r="32" spans="1:22">
      <c r="A32" s="3" t="str">
        <f>IF(C32="","",VLOOKUP(C32,[1]ISO辞書!A:C,2,FALSE))</f>
        <v/>
      </c>
      <c r="B32" s="1" t="str">
        <f>IF(C32="","",VLOOKUP(C32,[1]ISO辞書!A:C,3,FALSE))</f>
        <v/>
      </c>
      <c r="M32" s="3" t="str">
        <f>IF(J32="","",VLOOKUP(J32,[1]ISO辞書!A:B,2,FALSE))</f>
        <v/>
      </c>
      <c r="N32" s="3" t="str">
        <f>IF(K32="","",VLOOKUP(K32,[1]ISO辞書!A:B,2,FALSE))</f>
        <v/>
      </c>
      <c r="O32" s="3" t="str">
        <f>IF(L32="","",VLOOKUP(L32,[1]ISO辞書!A:B,2,FALSE))</f>
        <v/>
      </c>
      <c r="P32" s="1" t="str">
        <f t="shared" si="0"/>
        <v/>
      </c>
    </row>
    <row r="33" spans="1:16">
      <c r="A33" s="3" t="str">
        <f>IF(C33="","",VLOOKUP(C33,[1]ISO辞書!A:C,2,FALSE))</f>
        <v/>
      </c>
      <c r="B33" s="1" t="str">
        <f>IF(C33="","",VLOOKUP(C33,[1]ISO辞書!A:C,3,FALSE))</f>
        <v/>
      </c>
      <c r="M33" s="3" t="str">
        <f>IF(J33="","",VLOOKUP(J33,[1]ISO辞書!A:B,2,FALSE))</f>
        <v/>
      </c>
      <c r="N33" s="3" t="str">
        <f>IF(K33="","",VLOOKUP(K33,[1]ISO辞書!A:B,2,FALSE))</f>
        <v/>
      </c>
      <c r="O33" s="3" t="str">
        <f>IF(L33="","",VLOOKUP(L33,[1]ISO辞書!A:B,2,FALSE))</f>
        <v/>
      </c>
      <c r="P33" s="1" t="str">
        <f t="shared" si="0"/>
        <v/>
      </c>
    </row>
    <row r="34" spans="1:16">
      <c r="A34" s="3" t="str">
        <f>IF(C34="","",VLOOKUP(C34,[1]ISO辞書!A:C,2,FALSE))</f>
        <v/>
      </c>
      <c r="B34" s="1" t="str">
        <f>IF(C34="","",VLOOKUP(C34,[1]ISO辞書!A:C,3,FALSE))</f>
        <v/>
      </c>
      <c r="M34" s="3" t="str">
        <f>IF(J34="","",VLOOKUP(J34,[1]ISO辞書!A:B,2,FALSE))</f>
        <v/>
      </c>
      <c r="N34" s="3" t="str">
        <f>IF(K34="","",VLOOKUP(K34,[1]ISO辞書!A:B,2,FALSE))</f>
        <v/>
      </c>
      <c r="O34" s="3" t="str">
        <f>IF(L34="","",VLOOKUP(L34,[1]ISO辞書!A:B,2,FALSE))</f>
        <v/>
      </c>
      <c r="P34" s="1" t="str">
        <f t="shared" si="0"/>
        <v/>
      </c>
    </row>
    <row r="35" spans="1:16">
      <c r="A35" s="3" t="str">
        <f>IF(C35="","",VLOOKUP(C35,[1]ISO辞書!A:C,2,FALSE))</f>
        <v/>
      </c>
      <c r="B35" s="1" t="str">
        <f>IF(C35="","",VLOOKUP(C35,[1]ISO辞書!A:C,3,FALSE))</f>
        <v/>
      </c>
      <c r="M35" s="3" t="str">
        <f>IF(J35="","",VLOOKUP(J35,[1]ISO辞書!A:B,2,FALSE))</f>
        <v/>
      </c>
      <c r="N35" s="3" t="str">
        <f>IF(K35="","",VLOOKUP(K35,[1]ISO辞書!A:B,2,FALSE))</f>
        <v/>
      </c>
      <c r="O35" s="3" t="str">
        <f>IF(L35="","",VLOOKUP(L35,[1]ISO辞書!A:B,2,FALSE))</f>
        <v/>
      </c>
      <c r="P35" s="1" t="str">
        <f t="shared" si="0"/>
        <v/>
      </c>
    </row>
    <row r="36" spans="1:16">
      <c r="A36" s="3" t="str">
        <f>IF(C36="","",VLOOKUP(C36,[1]ISO辞書!A:C,2,FALSE))</f>
        <v/>
      </c>
      <c r="B36" s="1" t="str">
        <f>IF(C36="","",VLOOKUP(C36,[1]ISO辞書!A:C,3,FALSE))</f>
        <v/>
      </c>
      <c r="M36" s="3" t="str">
        <f>IF(J36="","",VLOOKUP(J36,[1]ISO辞書!A:B,2,FALSE))</f>
        <v/>
      </c>
      <c r="N36" s="3" t="str">
        <f>IF(K36="","",VLOOKUP(K36,[1]ISO辞書!A:B,2,FALSE))</f>
        <v/>
      </c>
      <c r="O36" s="3" t="str">
        <f>IF(L36="","",VLOOKUP(L36,[1]ISO辞書!A:B,2,FALSE))</f>
        <v/>
      </c>
      <c r="P36" s="1" t="str">
        <f t="shared" si="0"/>
        <v/>
      </c>
    </row>
    <row r="37" spans="1:16">
      <c r="A37" s="3" t="str">
        <f>IF(C37="","",VLOOKUP(C37,[1]ISO辞書!A:C,2,FALSE))</f>
        <v/>
      </c>
      <c r="M37" s="3" t="str">
        <f>IF(J37="","",VLOOKUP(J37,[1]ISO辞書!A:B,2,FALSE))</f>
        <v/>
      </c>
      <c r="N37" s="3" t="str">
        <f>IF(K37="","",VLOOKUP(K37,[1]ISO辞書!A:B,2,FALSE))</f>
        <v/>
      </c>
      <c r="O37" s="3" t="str">
        <f>IF(L37="","",VLOOKUP(L37,[1]ISO辞書!A:B,2,FALSE))</f>
        <v/>
      </c>
      <c r="P37" s="1" t="str">
        <f t="shared" si="0"/>
        <v/>
      </c>
    </row>
    <row r="38" spans="1:16">
      <c r="A38" s="3" t="str">
        <f>IF(C38="","",VLOOKUP(C38,[1]ISO辞書!A:C,2,FALSE))</f>
        <v/>
      </c>
      <c r="M38" s="3" t="str">
        <f>IF(J38="","",VLOOKUP(J38,[1]ISO辞書!A:B,2,FALSE))</f>
        <v/>
      </c>
      <c r="N38" s="3" t="str">
        <f>IF(K38="","",VLOOKUP(K38,[1]ISO辞書!A:B,2,FALSE))</f>
        <v/>
      </c>
      <c r="O38" s="3" t="str">
        <f>IF(L38="","",VLOOKUP(L38,[1]ISO辞書!A:B,2,FALSE))</f>
        <v/>
      </c>
      <c r="P38" s="1" t="str">
        <f t="shared" si="0"/>
        <v/>
      </c>
    </row>
    <row r="39" spans="1:16">
      <c r="A39" s="3" t="str">
        <f>IF(C39="","",VLOOKUP(C39,[1]ISO辞書!A:C,2,FALSE))</f>
        <v/>
      </c>
      <c r="M39" s="3" t="str">
        <f>IF(J39="","",VLOOKUP(J39,[1]ISO辞書!A:B,2,FALSE))</f>
        <v/>
      </c>
      <c r="N39" s="3" t="str">
        <f>IF(K39="","",VLOOKUP(K39,[1]ISO辞書!A:B,2,FALSE))</f>
        <v/>
      </c>
      <c r="O39" s="3" t="str">
        <f>IF(L39="","",VLOOKUP(L39,[1]ISO辞書!A:B,2,FALSE))</f>
        <v/>
      </c>
      <c r="P39" s="1" t="str">
        <f t="shared" si="0"/>
        <v/>
      </c>
    </row>
    <row r="40" spans="1:16">
      <c r="A40" s="3" t="str">
        <f>IF(C40="","",VLOOKUP(C40,[1]ISO辞書!A:C,2,FALSE))</f>
        <v/>
      </c>
      <c r="M40" s="3" t="str">
        <f>IF(J40="","",VLOOKUP(J40,[1]ISO辞書!A:B,2,FALSE))</f>
        <v/>
      </c>
      <c r="N40" s="3" t="str">
        <f>IF(K40="","",VLOOKUP(K40,[1]ISO辞書!A:B,2,FALSE))</f>
        <v/>
      </c>
      <c r="O40" s="3" t="str">
        <f>IF(L40="","",VLOOKUP(L40,[1]ISO辞書!A:B,2,FALSE))</f>
        <v/>
      </c>
      <c r="P40" s="1" t="str">
        <f t="shared" si="0"/>
        <v/>
      </c>
    </row>
    <row r="41" spans="1:16">
      <c r="M41" s="3" t="str">
        <f>IF(J41="","",VLOOKUP(J41,[1]ISO辞書!A:B,2,FALSE))</f>
        <v/>
      </c>
      <c r="N41" s="3" t="str">
        <f>IF(K41="","",VLOOKUP(K41,[1]ISO辞書!A:B,2,FALSE))</f>
        <v/>
      </c>
      <c r="O41" s="3" t="str">
        <f>IF(L41="","",VLOOKUP(L41,[1]ISO辞書!A:B,2,FALSE))</f>
        <v/>
      </c>
      <c r="P41" s="1" t="str">
        <f t="shared" si="0"/>
        <v/>
      </c>
    </row>
    <row r="42" spans="1:16">
      <c r="M42" s="3" t="str">
        <f>IF(J42="","",VLOOKUP(J42,[1]ISO辞書!A:B,2,FALSE))</f>
        <v/>
      </c>
      <c r="N42" s="3" t="str">
        <f>IF(K42="","",VLOOKUP(K42,[1]ISO辞書!A:B,2,FALSE))</f>
        <v/>
      </c>
      <c r="O42" s="3" t="str">
        <f>IF(L42="","",VLOOKUP(L42,[1]ISO辞書!A:B,2,FALSE))</f>
        <v/>
      </c>
      <c r="P42" s="1" t="str">
        <f t="shared" si="0"/>
        <v/>
      </c>
    </row>
    <row r="43" spans="1:16">
      <c r="M43" s="3" t="str">
        <f>IF(J43="","",VLOOKUP(J43,[1]ISO辞書!A:B,2,FALSE))</f>
        <v/>
      </c>
      <c r="N43" s="3" t="str">
        <f>IF(K43="","",VLOOKUP(K43,[1]ISO辞書!A:B,2,FALSE))</f>
        <v/>
      </c>
      <c r="O43" s="3" t="str">
        <f>IF(L43="","",VLOOKUP(L43,[1]ISO辞書!A:B,2,FALSE))</f>
        <v/>
      </c>
      <c r="P43" s="1" t="str">
        <f t="shared" si="0"/>
        <v/>
      </c>
    </row>
    <row r="44" spans="1:16">
      <c r="M44" s="3" t="str">
        <f>IF(J44="","",VLOOKUP(J44,[1]ISO辞書!A:B,2,FALSE))</f>
        <v/>
      </c>
      <c r="N44" s="3" t="str">
        <f>IF(K44="","",VLOOKUP(K44,[1]ISO辞書!A:B,2,FALSE))</f>
        <v/>
      </c>
      <c r="O44" s="3" t="str">
        <f>IF(L44="","",VLOOKUP(L44,[1]ISO辞書!A:B,2,FALSE))</f>
        <v/>
      </c>
      <c r="P44" s="1" t="str">
        <f t="shared" si="0"/>
        <v/>
      </c>
    </row>
    <row r="45" spans="1:16">
      <c r="M45" s="3" t="str">
        <f>IF(J45="","",VLOOKUP(J45,[1]ISO辞書!A:B,2,FALSE))</f>
        <v/>
      </c>
      <c r="N45" s="3" t="str">
        <f>IF(K45="","",VLOOKUP(K45,[1]ISO辞書!A:B,2,FALSE))</f>
        <v/>
      </c>
      <c r="O45" s="3" t="str">
        <f>IF(L45="","",VLOOKUP(L45,[1]ISO辞書!A:B,2,FALSE))</f>
        <v/>
      </c>
      <c r="P45" s="1" t="str">
        <f t="shared" si="0"/>
        <v/>
      </c>
    </row>
    <row r="46" spans="1:16">
      <c r="M46" s="3" t="str">
        <f>IF(J46="","",VLOOKUP(J46,[1]ISO辞書!A:B,2,FALSE))</f>
        <v/>
      </c>
      <c r="N46" s="3" t="str">
        <f>IF(K46="","",VLOOKUP(K46,[1]ISO辞書!A:B,2,FALSE))</f>
        <v/>
      </c>
      <c r="O46" s="3" t="str">
        <f>IF(L46="","",VLOOKUP(L46,[1]ISO辞書!A:B,2,FALSE))</f>
        <v/>
      </c>
      <c r="P46" s="1" t="str">
        <f t="shared" si="0"/>
        <v/>
      </c>
    </row>
  </sheetData>
  <autoFilter ref="A1:V1" xr:uid="{11153815-6F7F-462F-8165-5CE05A98A928}">
    <sortState xmlns:xlrd2="http://schemas.microsoft.com/office/spreadsheetml/2017/richdata2" ref="A2:V48">
      <sortCondition ref="S1"/>
    </sortState>
  </autoFilter>
  <phoneticPr fontId="18"/>
  <hyperlinks>
    <hyperlink ref="U9" r:id="rId1" xr:uid="{2470D36F-41C9-4D79-B665-E54B8DD57745}"/>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BC0D9A9-2050-412E-B0EC-29E3DA783345}">
          <x14:formula1>
            <xm:f>リスト!$E$2:$E$16</xm:f>
          </x14:formula1>
          <xm:sqref>R2:R65</xm:sqref>
        </x14:dataValidation>
        <x14:dataValidation type="list" allowBlank="1" showInputMessage="1" showErrorMessage="1" xr:uid="{C45C6681-8921-4A45-B927-31B4905015CB}">
          <x14:formula1>
            <xm:f>リスト!$H$2:$H$6</xm:f>
          </x14:formula1>
          <xm:sqref>V2:V48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A7A00-11D3-46D7-B2E7-58E59A80DCDF}">
  <dimension ref="B2:H18"/>
  <sheetViews>
    <sheetView workbookViewId="0">
      <selection activeCell="H7" sqref="H7"/>
    </sheetView>
  </sheetViews>
  <sheetFormatPr defaultRowHeight="18"/>
  <sheetData>
    <row r="2" spans="2:8">
      <c r="B2" t="s">
        <v>26</v>
      </c>
      <c r="E2" t="s">
        <v>21</v>
      </c>
      <c r="H2">
        <v>5</v>
      </c>
    </row>
    <row r="3" spans="2:8">
      <c r="B3" t="s">
        <v>27</v>
      </c>
      <c r="E3" t="s">
        <v>19</v>
      </c>
      <c r="H3">
        <v>4</v>
      </c>
    </row>
    <row r="4" spans="2:8">
      <c r="B4" t="s">
        <v>28</v>
      </c>
      <c r="E4" t="s">
        <v>23</v>
      </c>
      <c r="H4">
        <v>3</v>
      </c>
    </row>
    <row r="5" spans="2:8">
      <c r="B5" t="s">
        <v>29</v>
      </c>
      <c r="E5" t="s">
        <v>43</v>
      </c>
      <c r="H5">
        <v>2</v>
      </c>
    </row>
    <row r="6" spans="2:8">
      <c r="B6" t="s">
        <v>30</v>
      </c>
      <c r="E6" t="s">
        <v>44</v>
      </c>
      <c r="H6">
        <v>1</v>
      </c>
    </row>
    <row r="7" spans="2:8">
      <c r="B7" t="s">
        <v>31</v>
      </c>
      <c r="E7" t="s">
        <v>45</v>
      </c>
    </row>
    <row r="8" spans="2:8">
      <c r="B8" t="s">
        <v>32</v>
      </c>
      <c r="E8" t="s">
        <v>22</v>
      </c>
    </row>
    <row r="9" spans="2:8">
      <c r="B9" t="s">
        <v>33</v>
      </c>
      <c r="E9" t="s">
        <v>46</v>
      </c>
    </row>
    <row r="10" spans="2:8">
      <c r="B10" t="s">
        <v>34</v>
      </c>
      <c r="E10" t="s">
        <v>20</v>
      </c>
    </row>
    <row r="11" spans="2:8">
      <c r="B11" t="s">
        <v>35</v>
      </c>
      <c r="E11" t="s">
        <v>47</v>
      </c>
    </row>
    <row r="12" spans="2:8">
      <c r="B12" t="s">
        <v>36</v>
      </c>
      <c r="E12" t="s">
        <v>24</v>
      </c>
    </row>
    <row r="13" spans="2:8">
      <c r="B13" t="s">
        <v>37</v>
      </c>
      <c r="E13" t="s">
        <v>48</v>
      </c>
    </row>
    <row r="14" spans="2:8">
      <c r="B14" t="s">
        <v>38</v>
      </c>
      <c r="E14" t="s">
        <v>49</v>
      </c>
    </row>
    <row r="15" spans="2:8">
      <c r="B15" t="s">
        <v>39</v>
      </c>
      <c r="E15" t="s">
        <v>50</v>
      </c>
    </row>
    <row r="16" spans="2:8">
      <c r="B16" t="s">
        <v>40</v>
      </c>
      <c r="E16" t="s">
        <v>25</v>
      </c>
    </row>
    <row r="17" spans="2:2">
      <c r="B17" t="s">
        <v>41</v>
      </c>
    </row>
    <row r="18" spans="2:2">
      <c r="B18" t="s">
        <v>42</v>
      </c>
    </row>
  </sheetData>
  <phoneticPr fontId="18"/>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events-入力用</vt:lpstr>
      <vt:lpstr>リスト</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遠藤篤</dc:creator>
  <cp:lastModifiedBy>篤 遠藤</cp:lastModifiedBy>
  <dcterms:created xsi:type="dcterms:W3CDTF">2026-03-29T02:56:09Z</dcterms:created>
  <dcterms:modified xsi:type="dcterms:W3CDTF">2026-04-26T11:12:23Z</dcterms:modified>
</cp:coreProperties>
</file>