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ABD3D20A-DA7A-427F-B69C-56A0C3513C3F}" xr6:coauthVersionLast="47" xr6:coauthVersionMax="47" xr10:uidLastSave="{00000000-0000-0000-0000-000000000000}"/>
  <bookViews>
    <workbookView xWindow="-108" yWindow="-108" windowWidth="23256" windowHeight="12456" xr2:uid="{17EB953A-2661-4049-9616-0D3098A3DA36}"/>
  </bookViews>
  <sheets>
    <sheet name="events-入力用" sheetId="1" r:id="rId1"/>
    <sheet name="リスト" sheetId="2" r:id="rId2"/>
  </sheets>
  <externalReferences>
    <externalReference r:id="rId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8" i="1" l="1"/>
  <c r="K68" i="1"/>
  <c r="J68" i="1"/>
  <c r="L67" i="1"/>
  <c r="K67" i="1"/>
  <c r="J67" i="1"/>
  <c r="L66" i="1"/>
  <c r="K66" i="1"/>
  <c r="J66" i="1"/>
  <c r="L65" i="1"/>
  <c r="K65" i="1"/>
  <c r="J65" i="1"/>
  <c r="L64" i="1"/>
  <c r="K64" i="1"/>
  <c r="J64" i="1"/>
  <c r="L63" i="1"/>
  <c r="K63" i="1"/>
  <c r="J63" i="1"/>
  <c r="M63" i="1" s="1"/>
  <c r="L62" i="1"/>
  <c r="K62" i="1"/>
  <c r="J62" i="1"/>
  <c r="L61" i="1"/>
  <c r="K61" i="1"/>
  <c r="J61" i="1"/>
  <c r="L60" i="1"/>
  <c r="K60" i="1"/>
  <c r="J60" i="1"/>
  <c r="L59" i="1"/>
  <c r="K59" i="1"/>
  <c r="J59" i="1"/>
  <c r="M59" i="1" s="1"/>
  <c r="L58" i="1"/>
  <c r="K58" i="1"/>
  <c r="J58" i="1"/>
  <c r="L57" i="1"/>
  <c r="K57" i="1"/>
  <c r="J57" i="1"/>
  <c r="L56" i="1"/>
  <c r="K56" i="1"/>
  <c r="J56" i="1"/>
  <c r="M56" i="1" s="1"/>
  <c r="L55" i="1"/>
  <c r="K55" i="1"/>
  <c r="J55" i="1"/>
  <c r="L54" i="1"/>
  <c r="K54" i="1"/>
  <c r="J54" i="1"/>
  <c r="L53" i="1"/>
  <c r="K53" i="1"/>
  <c r="J53" i="1"/>
  <c r="L52" i="1"/>
  <c r="K52" i="1"/>
  <c r="J52" i="1"/>
  <c r="L51" i="1"/>
  <c r="K51" i="1"/>
  <c r="J51" i="1"/>
  <c r="L50" i="1"/>
  <c r="K50" i="1"/>
  <c r="J50" i="1"/>
  <c r="L49" i="1"/>
  <c r="K49" i="1"/>
  <c r="J49" i="1"/>
  <c r="L48" i="1"/>
  <c r="K48" i="1"/>
  <c r="J48" i="1"/>
  <c r="L47" i="1"/>
  <c r="K47" i="1"/>
  <c r="J47" i="1"/>
  <c r="L46" i="1"/>
  <c r="K46" i="1"/>
  <c r="J46" i="1"/>
  <c r="L45" i="1"/>
  <c r="K45" i="1"/>
  <c r="J45" i="1"/>
  <c r="L44" i="1"/>
  <c r="K44" i="1"/>
  <c r="J44" i="1"/>
  <c r="L43" i="1"/>
  <c r="K43" i="1"/>
  <c r="J43" i="1"/>
  <c r="L42" i="1"/>
  <c r="K42" i="1"/>
  <c r="J42" i="1"/>
  <c r="L41" i="1"/>
  <c r="K41" i="1"/>
  <c r="J41" i="1"/>
  <c r="L40" i="1"/>
  <c r="K40" i="1"/>
  <c r="J40" i="1"/>
  <c r="M40" i="1" s="1"/>
  <c r="L39" i="1"/>
  <c r="K39" i="1"/>
  <c r="J39" i="1"/>
  <c r="L38" i="1"/>
  <c r="K38" i="1"/>
  <c r="J38" i="1"/>
  <c r="L37" i="1"/>
  <c r="K37" i="1"/>
  <c r="J37" i="1"/>
  <c r="L36" i="1"/>
  <c r="K36" i="1"/>
  <c r="J36" i="1"/>
  <c r="L35" i="1"/>
  <c r="K35" i="1"/>
  <c r="J35" i="1"/>
  <c r="L34" i="1"/>
  <c r="K34" i="1"/>
  <c r="J34" i="1"/>
  <c r="L33" i="1"/>
  <c r="K33" i="1"/>
  <c r="J33" i="1"/>
  <c r="L32" i="1"/>
  <c r="K32" i="1"/>
  <c r="J32" i="1"/>
  <c r="M32" i="1" s="1"/>
  <c r="L31" i="1"/>
  <c r="K31" i="1"/>
  <c r="J31" i="1"/>
  <c r="L30" i="1"/>
  <c r="K30" i="1"/>
  <c r="J30" i="1"/>
  <c r="L29" i="1"/>
  <c r="K29" i="1"/>
  <c r="J29" i="1"/>
  <c r="L28" i="1"/>
  <c r="K28" i="1"/>
  <c r="J28" i="1"/>
  <c r="L27" i="1"/>
  <c r="K27" i="1"/>
  <c r="J27" i="1"/>
  <c r="L26" i="1"/>
  <c r="K26" i="1"/>
  <c r="J26" i="1"/>
  <c r="L25" i="1"/>
  <c r="K25" i="1"/>
  <c r="J25" i="1"/>
  <c r="L24" i="1"/>
  <c r="K24" i="1"/>
  <c r="J24" i="1"/>
  <c r="L23" i="1"/>
  <c r="K23" i="1"/>
  <c r="J23" i="1"/>
  <c r="L22" i="1"/>
  <c r="K22" i="1"/>
  <c r="J22" i="1"/>
  <c r="L21" i="1"/>
  <c r="K21" i="1"/>
  <c r="J21" i="1"/>
  <c r="L20" i="1"/>
  <c r="K20" i="1"/>
  <c r="J20" i="1"/>
  <c r="L19" i="1"/>
  <c r="K19" i="1"/>
  <c r="J19" i="1"/>
  <c r="L18" i="1"/>
  <c r="K18" i="1"/>
  <c r="J18" i="1"/>
  <c r="L17" i="1"/>
  <c r="K17" i="1"/>
  <c r="J17" i="1"/>
  <c r="L16" i="1"/>
  <c r="K16" i="1"/>
  <c r="J16" i="1"/>
  <c r="M16" i="1" s="1"/>
  <c r="L15" i="1"/>
  <c r="K15" i="1"/>
  <c r="J15" i="1"/>
  <c r="L14" i="1"/>
  <c r="K14" i="1"/>
  <c r="J14" i="1"/>
  <c r="L13" i="1"/>
  <c r="K13" i="1"/>
  <c r="J13" i="1"/>
  <c r="L12" i="1"/>
  <c r="K12" i="1"/>
  <c r="J12" i="1"/>
  <c r="L11" i="1"/>
  <c r="K11" i="1"/>
  <c r="J11" i="1"/>
  <c r="L10" i="1"/>
  <c r="K10" i="1"/>
  <c r="J10" i="1"/>
  <c r="L9" i="1"/>
  <c r="K9" i="1"/>
  <c r="J9" i="1"/>
  <c r="L8" i="1"/>
  <c r="K8" i="1"/>
  <c r="J8" i="1"/>
  <c r="M8" i="1" s="1"/>
  <c r="L7" i="1"/>
  <c r="K7" i="1"/>
  <c r="J7" i="1"/>
  <c r="L6" i="1"/>
  <c r="K6" i="1"/>
  <c r="J6" i="1"/>
  <c r="L5" i="1"/>
  <c r="K5" i="1"/>
  <c r="J5" i="1"/>
  <c r="L4" i="1"/>
  <c r="K4" i="1"/>
  <c r="J4" i="1"/>
  <c r="L3" i="1"/>
  <c r="K3" i="1"/>
  <c r="J3" i="1"/>
  <c r="M3" i="1" s="1"/>
  <c r="L2" i="1"/>
  <c r="K2" i="1"/>
  <c r="J2"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B4" i="1"/>
  <c r="B3" i="1"/>
  <c r="B2"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A6" i="1"/>
  <c r="A5" i="1"/>
  <c r="A4" i="1"/>
  <c r="A3" i="1"/>
  <c r="A2" i="1"/>
  <c r="M15" i="1" l="1"/>
  <c r="M23" i="1"/>
  <c r="M31" i="1"/>
  <c r="M39" i="1"/>
  <c r="M47" i="1"/>
  <c r="M55" i="1"/>
  <c r="M41" i="1"/>
  <c r="M49" i="1"/>
  <c r="M57" i="1"/>
  <c r="M65" i="1"/>
  <c r="M10" i="1"/>
  <c r="M26" i="1"/>
  <c r="M34" i="1"/>
  <c r="M50" i="1"/>
  <c r="M58" i="1"/>
  <c r="M20" i="1"/>
  <c r="M28" i="1"/>
  <c r="M44" i="1"/>
  <c r="M52" i="1"/>
  <c r="M5" i="1"/>
  <c r="M64" i="1"/>
  <c r="M4" i="1"/>
  <c r="M11" i="1"/>
  <c r="M19" i="1"/>
  <c r="M27" i="1"/>
  <c r="M35" i="1"/>
  <c r="M43" i="1"/>
  <c r="M51" i="1"/>
  <c r="M67" i="1"/>
  <c r="M68" i="1"/>
  <c r="M14" i="1"/>
  <c r="M22" i="1"/>
  <c r="M38" i="1"/>
  <c r="M46" i="1"/>
  <c r="M62" i="1"/>
  <c r="M2" i="1"/>
  <c r="M9" i="1"/>
  <c r="M17" i="1"/>
  <c r="M25" i="1"/>
  <c r="M33" i="1"/>
  <c r="M48" i="1"/>
  <c r="M18" i="1"/>
  <c r="M42" i="1"/>
  <c r="M66" i="1"/>
  <c r="M24" i="1"/>
  <c r="M54" i="1"/>
  <c r="M12" i="1"/>
  <c r="M36" i="1"/>
  <c r="M60" i="1"/>
  <c r="M7" i="1"/>
  <c r="M30" i="1"/>
  <c r="M6" i="1"/>
  <c r="M13" i="1"/>
  <c r="M21" i="1"/>
  <c r="M29" i="1"/>
  <c r="M37" i="1"/>
  <c r="M45" i="1"/>
  <c r="M53" i="1"/>
  <c r="M61" i="1"/>
</calcChain>
</file>

<file path=xl/sharedStrings.xml><?xml version="1.0" encoding="utf-8"?>
<sst xmlns="http://schemas.openxmlformats.org/spreadsheetml/2006/main" count="227" uniqueCount="141">
  <si>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</si>
  <si>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</si>
  <si>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</si>
  <si>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</si>
  <si>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</si>
  <si>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</si>
  <si>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</si>
  <si>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</si>
  <si>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</si>
  <si>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</si>
  <si>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</si>
  <si>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</si>
  <si>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</si>
  <si>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</si>
  <si>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</si>
  <si>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</si>
  <si>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</si>
  <si>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</si>
  <si>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</si>
  <si>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軍事</t>
  </si>
  <si>
    <t>貿易</t>
  </si>
  <si>
    <t>外交</t>
  </si>
  <si>
    <t>紛争</t>
  </si>
  <si>
    <t>安全保障</t>
  </si>
  <si>
    <t>国内政治</t>
  </si>
  <si>
    <t>その他</t>
  </si>
  <si>
    <t>https://www.reuters.com/world/middle-east/israeli-minister-calls-annexation-southern-lebanon-2026-03-23/</t>
  </si>
  <si>
    <t>Reuters</t>
    <phoneticPr fontId="18"/>
  </si>
  <si>
    <t>イスラエル</t>
    <phoneticPr fontId="18"/>
  </si>
  <si>
    <t>レバノン</t>
    <phoneticPr fontId="18"/>
  </si>
  <si>
    <t>紛争</t>
    <rPh sb="0" eb="2">
      <t>フンソウ</t>
    </rPh>
    <phoneticPr fontId="18"/>
  </si>
  <si>
    <t>国際関係に影響</t>
  </si>
  <si>
    <t>安全保障に影響</t>
  </si>
  <si>
    <t>経済に影響</t>
  </si>
  <si>
    <t>エネルギー市場に影響</t>
  </si>
  <si>
    <t>貿易に影響</t>
  </si>
  <si>
    <t>金融市場に影響</t>
  </si>
  <si>
    <t>軍事的緊張が高まる</t>
  </si>
  <si>
    <t>外交関係が悪化</t>
  </si>
  <si>
    <t>外交関係が改善</t>
  </si>
  <si>
    <t>地域情勢が不安定化</t>
  </si>
  <si>
    <t>地域情勢が安定化</t>
  </si>
  <si>
    <t>制裁強化</t>
  </si>
  <si>
    <t>制裁緩和</t>
  </si>
  <si>
    <t>サプライチェーンに影響</t>
  </si>
  <si>
    <t>国内政治に影響</t>
  </si>
  <si>
    <t>人道問題に影響</t>
  </si>
  <si>
    <t>不明</t>
  </si>
  <si>
    <t>経済</t>
  </si>
  <si>
    <t>エネルギー</t>
  </si>
  <si>
    <t>制裁</t>
  </si>
  <si>
    <t>首脳会談</t>
  </si>
  <si>
    <t>金融</t>
  </si>
  <si>
    <t>人道</t>
  </si>
  <si>
    <t>テクノロジー</t>
  </si>
  <si>
    <t>サイバー</t>
  </si>
  <si>
    <t>イスラエル閣僚がレバノン南部を併合宣言</t>
    <rPh sb="12" eb="14">
      <t>ナンブ</t>
    </rPh>
    <phoneticPr fontId="18"/>
  </si>
  <si>
    <t>財務相スモトリッヒ氏がレバノン南部リタニ川まで国境拡大を主張、空爆で民間被害。</t>
    <rPh sb="9" eb="10">
      <t>ウジ</t>
    </rPh>
    <rPh sb="15" eb="17">
      <t>ナンブ</t>
    </rPh>
    <phoneticPr fontId="18"/>
  </si>
  <si>
    <t>https://www.reuters.com/world/europe/slovenians-vote-tight-race-between-liberals-populist-right-2026-03-22/</t>
    <phoneticPr fontId="18"/>
  </si>
  <si>
    <t>スロベニア</t>
    <phoneticPr fontId="18"/>
  </si>
  <si>
    <t>スロベニア総選挙</t>
    <rPh sb="5" eb="8">
      <t>ソウセンキョ</t>
    </rPh>
    <phoneticPr fontId="18"/>
  </si>
  <si>
    <t>自由派とポピュリスト右派が接戦、過半数獲得できず小党が連立の鍵に。</t>
    <phoneticPr fontId="18"/>
  </si>
  <si>
    <t>選挙</t>
    <rPh sb="0" eb="2">
      <t>センキョ</t>
    </rPh>
    <phoneticPr fontId="18"/>
  </si>
  <si>
    <t>イタリアの司法改革案が国民投票にて否決</t>
    <rPh sb="5" eb="10">
      <t>シホウカイカクアン</t>
    </rPh>
    <rPh sb="11" eb="15">
      <t>コクミントウヒョウ</t>
    </rPh>
    <rPh sb="17" eb="19">
      <t>ヒケツ</t>
    </rPh>
    <phoneticPr fontId="1"/>
  </si>
  <si>
    <t>イタリア</t>
    <phoneticPr fontId="18"/>
  </si>
  <si>
    <t>https://www.reuters.com/world/europe/exit-polls-suggest-italys-meloni-has-narrowly-lost-justice-referendum-vote-2026-03-23/</t>
    <phoneticPr fontId="18"/>
  </si>
  <si>
    <t>国内政治</t>
    <rPh sb="0" eb="4">
      <t>コクナイセイジ</t>
    </rPh>
    <phoneticPr fontId="18"/>
  </si>
  <si>
    <t>メローニの司法改正案が僅差で否決、支持基盤に大打撃。</t>
    <phoneticPr fontId="18"/>
  </si>
  <si>
    <t>Bloomberg</t>
    <phoneticPr fontId="18"/>
  </si>
  <si>
    <t>https://www.bloomberg.com/news/articles/2026-03-30/russian-oil-shipment-buys-us-and-cuba-time-as-crisis-festers</t>
    <phoneticPr fontId="18"/>
  </si>
  <si>
    <t>キューバ</t>
    <phoneticPr fontId="18"/>
  </si>
  <si>
    <t>ロシア原油がキューバに到着</t>
    <rPh sb="11" eb="13">
      <t>トウチャク</t>
    </rPh>
    <phoneticPr fontId="18"/>
  </si>
  <si>
    <t>トランプ大統領がキューバへの輸送を容認、ロシア産原油でキューバの燃料不足が一時緩和</t>
    <rPh sb="4" eb="7">
      <t>ダイトウリョウ</t>
    </rPh>
    <rPh sb="14" eb="16">
      <t>ユソウ</t>
    </rPh>
    <phoneticPr fontId="18"/>
  </si>
  <si>
    <t>エネルギー</t>
    <phoneticPr fontId="18"/>
  </si>
  <si>
    <t>ロシア</t>
    <phoneticPr fontId="18"/>
  </si>
  <si>
    <t>アメリカ</t>
    <phoneticPr fontId="18"/>
  </si>
  <si>
    <t>パラグアイ、財務相が交代</t>
    <phoneticPr fontId="18"/>
  </si>
  <si>
    <t>パラグアイ</t>
    <phoneticPr fontId="18"/>
  </si>
  <si>
    <t>暫定の財務相が就任、後任選定へ</t>
    <rPh sb="0" eb="2">
      <t>ザンテイ</t>
    </rPh>
    <rPh sb="3" eb="6">
      <t>ザイムショウ</t>
    </rPh>
    <rPh sb="7" eb="9">
      <t>シュウニン</t>
    </rPh>
    <rPh sb="10" eb="12">
      <t>コウニン</t>
    </rPh>
    <rPh sb="12" eb="14">
      <t>センテイ</t>
    </rPh>
    <phoneticPr fontId="18"/>
  </si>
  <si>
    <t>https://www.bloomberg.com/news/articles/2026-03-31/paraguay-names-interim-finance-chief-after-fernandez-resigns</t>
    <phoneticPr fontId="18"/>
  </si>
  <si>
    <t>アメリカ、3隻目の空母を中東海域へ派遣</t>
    <rPh sb="12" eb="16">
      <t>チュウトウカイイキ</t>
    </rPh>
    <phoneticPr fontId="18"/>
  </si>
  <si>
    <t>第3空母戦闘群を中東へ増派、イランとの緊張続く。</t>
    <phoneticPr fontId="18"/>
  </si>
  <si>
    <t>イラン</t>
    <phoneticPr fontId="18"/>
  </si>
  <si>
    <t>https://www.bloomberg.com/news/articles/2026-03-31/third-us-aircraft-carrier-heads-to-mideast-as-iran-war-continues</t>
    <phoneticPr fontId="18"/>
  </si>
  <si>
    <t>ウクライナ</t>
    <phoneticPr fontId="18"/>
  </si>
  <si>
    <t>https://www.reuters.com/world/middle-east/unifil-says-one-peacekeeper-killed-one-critically-injured-southern-lebanon-2026-03-29/</t>
  </si>
  <si>
    <t>レバノン南部で国連平和維持軍3名が死亡</t>
    <rPh sb="4" eb="6">
      <t>ナンブ</t>
    </rPh>
    <rPh sb="7" eb="14">
      <t>コクレンヘイワイジグン</t>
    </rPh>
    <rPh sb="15" eb="16">
      <t>メイ</t>
    </rPh>
    <rPh sb="17" eb="19">
      <t>シボウ</t>
    </rPh>
    <phoneticPr fontId="18"/>
  </si>
  <si>
    <t>イスラエルによるレバノン南部攻撃による</t>
    <rPh sb="12" eb="14">
      <t>ナンブ</t>
    </rPh>
    <rPh sb="14" eb="16">
      <t>コウゲキ</t>
    </rPh>
    <phoneticPr fontId="18"/>
  </si>
  <si>
    <t>https://www.reuters.com/world/middle-east/uk-pm-starmer-raises-migration-border-security-talks-with-syrias-president-2026-03-31/</t>
  </si>
  <si>
    <t>イギリス</t>
    <phoneticPr fontId="18"/>
  </si>
  <si>
    <t>イギリスとシリアの首脳会談</t>
    <rPh sb="9" eb="13">
      <t>シュノウカイダン</t>
    </rPh>
    <phoneticPr fontId="18"/>
  </si>
  <si>
    <t>移民問題と国境警備問題が議題に</t>
    <rPh sb="0" eb="4">
      <t>イミンモンダイ</t>
    </rPh>
    <rPh sb="5" eb="11">
      <t>コッキョウケイビモンダイ</t>
    </rPh>
    <rPh sb="12" eb="14">
      <t>ギダイ</t>
    </rPh>
    <phoneticPr fontId="18"/>
  </si>
  <si>
    <t>国際関係</t>
    <rPh sb="0" eb="4">
      <t>コクサイカンケイ</t>
    </rPh>
    <phoneticPr fontId="18"/>
  </si>
  <si>
    <t>シリア</t>
    <phoneticPr fontId="18"/>
  </si>
  <si>
    <t>https://www.reuters.com/world/middle-east/israel-establish-buffer-zone-south-lebanon-up-litani-river-defence-minister-says-2026-03-31/</t>
  </si>
  <si>
    <t>イスラエルがレバノン南部に緩衝地帯設置を表明</t>
    <rPh sb="10" eb="12">
      <t>ナンブ</t>
    </rPh>
    <rPh sb="13" eb="19">
      <t>カンショウチタイセッチ</t>
    </rPh>
    <rPh sb="20" eb="22">
      <t>ヒョウメイ</t>
    </rPh>
    <phoneticPr fontId="18"/>
  </si>
  <si>
    <t>イスラエル国防相、レバノン南部リタ川までを緩衝地帯にすると発言</t>
    <rPh sb="5" eb="8">
      <t>コクボウショウ</t>
    </rPh>
    <rPh sb="13" eb="15">
      <t>ナンブ</t>
    </rPh>
    <rPh sb="17" eb="18">
      <t>カワ</t>
    </rPh>
    <rPh sb="21" eb="25">
      <t>カンショウチタイ</t>
    </rPh>
    <rPh sb="29" eb="31">
      <t>ハツゲン</t>
    </rPh>
    <phoneticPr fontId="18"/>
  </si>
  <si>
    <t>https://www.reuters.com/business/aerospace-defense/ukraines-zelenskiy-arrives-jordan-next-leg-gulf-tour-2026-03-29/</t>
  </si>
  <si>
    <t>ゼレンスキー大統領のヨルダン訪問</t>
    <rPh sb="6" eb="9">
      <t>ダイトウリョウ</t>
    </rPh>
    <rPh sb="14" eb="16">
      <t>ホウモン</t>
    </rPh>
    <phoneticPr fontId="18"/>
  </si>
  <si>
    <t>アブドラ国王と安全保障協力について協議</t>
    <rPh sb="4" eb="6">
      <t>コクオウ</t>
    </rPh>
    <rPh sb="7" eb="13">
      <t>アンゼンホショウキョウリョク</t>
    </rPh>
    <rPh sb="17" eb="19">
      <t>キョウギ</t>
    </rPh>
    <phoneticPr fontId="18"/>
  </si>
  <si>
    <t>ヨルダン</t>
    <phoneticPr fontId="18"/>
  </si>
  <si>
    <t>https://www.reuters.com/world/russia-expels-british-diplomat-over-espionage-fsb-says-2026-03-30/</t>
  </si>
  <si>
    <t>ロシアがスパイ容疑で英外交官を追放</t>
    <rPh sb="7" eb="9">
      <t>ヨウギ</t>
    </rPh>
    <rPh sb="10" eb="11">
      <t>エイ</t>
    </rPh>
    <rPh sb="11" eb="14">
      <t>ガイコウカン</t>
    </rPh>
    <rPh sb="15" eb="17">
      <t>ツイホウ</t>
    </rPh>
    <phoneticPr fontId="18"/>
  </si>
  <si>
    <t>スパイ容疑で外交官を国外退去処分と発表。英政府は抗議。</t>
    <rPh sb="20" eb="21">
      <t>エイ</t>
    </rPh>
    <phoneticPr fontId="18"/>
  </si>
  <si>
    <t>https://www.reuters.com/business/aerospace-defense/italy-refuses-us-aircraft-use-sicily-base-middle-east-operations-source-says-2026-03-31/</t>
  </si>
  <si>
    <t>イタリア、米軍機のシチリア基地利用を拒否と発表</t>
    <rPh sb="5" eb="8">
      <t>ベイグンキ</t>
    </rPh>
    <rPh sb="13" eb="17">
      <t>キチリヨウ</t>
    </rPh>
    <rPh sb="18" eb="20">
      <t>キョヒ</t>
    </rPh>
    <rPh sb="21" eb="23">
      <t>ハッピョウ</t>
    </rPh>
    <phoneticPr fontId="1"/>
  </si>
  <si>
    <t>イタリアが中東に向かう米軍航空機の基地使用を拒否</t>
    <rPh sb="5" eb="7">
      <t>チュウトウ</t>
    </rPh>
    <rPh sb="8" eb="9">
      <t>ム</t>
    </rPh>
    <rPh sb="11" eb="16">
      <t>ベイグンコウクウキ</t>
    </rPh>
    <rPh sb="17" eb="21">
      <t>キチシヨウ</t>
    </rPh>
    <rPh sb="22" eb="24">
      <t>キョヒ</t>
    </rPh>
    <phoneticPr fontId="18"/>
  </si>
  <si>
    <t>フランス</t>
    <phoneticPr fontId="18"/>
  </si>
  <si>
    <t>フランスがイスラエルの領空通過を拒否</t>
    <rPh sb="11" eb="13">
      <t>リョウクウ</t>
    </rPh>
    <rPh sb="13" eb="15">
      <t>ツウカ</t>
    </rPh>
    <rPh sb="16" eb="18">
      <t>キョヒ</t>
    </rPh>
    <phoneticPr fontId="18"/>
  </si>
  <si>
    <t>イラン攻撃用の米国製兵器輸送において自国領空通過を拒否した。</t>
    <rPh sb="3" eb="5">
      <t>コウゲキ</t>
    </rPh>
    <rPh sb="5" eb="6">
      <t>ヨウ</t>
    </rPh>
    <rPh sb="7" eb="9">
      <t>ベイコク</t>
    </rPh>
    <rPh sb="9" eb="10">
      <t>セイ</t>
    </rPh>
    <rPh sb="10" eb="12">
      <t>ヘイキ</t>
    </rPh>
    <rPh sb="12" eb="14">
      <t>ユソウ</t>
    </rPh>
    <rPh sb="18" eb="20">
      <t>ジコク</t>
    </rPh>
    <rPh sb="20" eb="22">
      <t>リョウクウ</t>
    </rPh>
    <rPh sb="22" eb="24">
      <t>ツウカ</t>
    </rPh>
    <rPh sb="25" eb="27">
      <t>キョヒ</t>
    </rPh>
    <phoneticPr fontId="18"/>
  </si>
  <si>
    <t>https://www.reuters.com/world/china/france-refused-israel-use-its-air-space-transfer-us-weapons-iran-war-sources-2026-03-31/</t>
  </si>
  <si>
    <t>ネパール</t>
    <phoneticPr fontId="18"/>
  </si>
  <si>
    <t>ネパールの前首相が逮捕される</t>
    <rPh sb="5" eb="8">
      <t>ゼンシュショウ</t>
    </rPh>
    <rPh sb="9" eb="11">
      <t>タイホ</t>
    </rPh>
    <phoneticPr fontId="18"/>
  </si>
  <si>
    <t>2025年9月の抗議活動への弾圧に関連した逮捕</t>
    <rPh sb="4" eb="5">
      <t>ネン</t>
    </rPh>
    <rPh sb="6" eb="7">
      <t>ガツ</t>
    </rPh>
    <rPh sb="8" eb="12">
      <t>コウギカツドウ</t>
    </rPh>
    <rPh sb="14" eb="16">
      <t>ダンアツ</t>
    </rPh>
    <rPh sb="17" eb="19">
      <t>カンレン</t>
    </rPh>
    <rPh sb="21" eb="23">
      <t>タイホ</t>
    </rPh>
    <phoneticPr fontId="18"/>
  </si>
  <si>
    <t>https://www.reuters.com/world/asia-pacific/nepals-ex-pm-oli-held-over-deaths-during-gen-z-protests-2026-03-28/</t>
  </si>
  <si>
    <t>アフガニスタン</t>
    <phoneticPr fontId="18"/>
  </si>
  <si>
    <t>アフガニスタンとパキスタンで豪雨被害</t>
    <rPh sb="16" eb="18">
      <t>ヒガイ</t>
    </rPh>
    <phoneticPr fontId="18"/>
  </si>
  <si>
    <t>両国で合計45名が死亡したとされる</t>
    <rPh sb="0" eb="2">
      <t>リョウコク</t>
    </rPh>
    <rPh sb="3" eb="5">
      <t>ゴウケイ</t>
    </rPh>
    <rPh sb="7" eb="8">
      <t>メイ</t>
    </rPh>
    <rPh sb="9" eb="11">
      <t>シボウ</t>
    </rPh>
    <phoneticPr fontId="18"/>
  </si>
  <si>
    <t>災害</t>
    <rPh sb="0" eb="2">
      <t>サイガイ</t>
    </rPh>
    <phoneticPr fontId="18"/>
  </si>
  <si>
    <t>パキスタン</t>
    <phoneticPr fontId="18"/>
  </si>
  <si>
    <t>https://www.reuters.com/sustainability/climate-energy/heavy-rain-floods-kill-22-people-afghanistan-2026-03-30/</t>
  </si>
  <si>
    <t>https://www.reuters.com/world/asia-pacific/kosovo-approves-troops-gaza-under-us-backed-scheme-2026-03-30/</t>
  </si>
  <si>
    <t>コソボ</t>
    <phoneticPr fontId="18"/>
  </si>
  <si>
    <t>コソボがガザ地区への部隊派遣を承認</t>
    <rPh sb="6" eb="8">
      <t>チク</t>
    </rPh>
    <rPh sb="10" eb="14">
      <t>ブタイハケン</t>
    </rPh>
    <rPh sb="15" eb="17">
      <t>ショウニン</t>
    </rPh>
    <phoneticPr fontId="18"/>
  </si>
  <si>
    <t>パレスチナ</t>
    <phoneticPr fontId="18"/>
  </si>
  <si>
    <t>米国主導の国際安定化部隊へ参加表明、派遣規模は未公表。</t>
    <phoneticPr fontId="18"/>
  </si>
  <si>
    <t>https://www.reuters.com/world/asia-pacific/pakistan-afghanistan-trade-fire-islamabad-prepares-host-us-iran-talks-2026-03-30/</t>
  </si>
  <si>
    <t>パキスタンとアフガニスタンが再衝突</t>
    <rPh sb="14" eb="17">
      <t>サイショウトツ</t>
    </rPh>
    <phoneticPr fontId="18"/>
  </si>
  <si>
    <t>両国国境で砲撃があり民間人被害報告。</t>
    <rPh sb="0" eb="2">
      <t>リョウコク</t>
    </rPh>
    <phoneticPr fontId="18"/>
  </si>
  <si>
    <t>タイ</t>
    <phoneticPr fontId="18"/>
  </si>
  <si>
    <t>タイにて新内閣が承認される</t>
    <rPh sb="4" eb="7">
      <t>シンナイカク</t>
    </rPh>
    <rPh sb="8" eb="10">
      <t>ショウニン</t>
    </rPh>
    <phoneticPr fontId="18"/>
  </si>
  <si>
    <t>アヌティン新内閣が承認される</t>
    <rPh sb="9" eb="11">
      <t>ショウニン</t>
    </rPh>
    <phoneticPr fontId="18"/>
  </si>
  <si>
    <t>https://www.reuters.com/world/asia-pacific/thai-king-approves-pm-anutins-cabinet-royal-gazette-says-2026-03-31/</t>
  </si>
  <si>
    <t>https://www.reuters.com/world/asia-pacific/south-korea-hit-by-steepest-stocks-selloff-since-2008-currency-tumbles-2026-03-31/</t>
  </si>
  <si>
    <t>韓国</t>
    <rPh sb="0" eb="2">
      <t>カンコク</t>
    </rPh>
    <phoneticPr fontId="18"/>
  </si>
  <si>
    <t>韓国にて株価の大暴落と通貨の急落が発生</t>
    <rPh sb="0" eb="2">
      <t>カンコク</t>
    </rPh>
    <rPh sb="4" eb="6">
      <t>カブカ</t>
    </rPh>
    <rPh sb="7" eb="10">
      <t>ダイボウラク</t>
    </rPh>
    <rPh sb="11" eb="13">
      <t>ツウカ</t>
    </rPh>
    <rPh sb="14" eb="16">
      <t>キュウラク</t>
    </rPh>
    <rPh sb="17" eb="19">
      <t>ハッセイ</t>
    </rPh>
    <phoneticPr fontId="18"/>
  </si>
  <si>
    <t>2008年以来の下がり幅を記録。</t>
    <rPh sb="4" eb="5">
      <t>ネン</t>
    </rPh>
    <rPh sb="5" eb="7">
      <t>イライ</t>
    </rPh>
    <rPh sb="8" eb="9">
      <t>サ</t>
    </rPh>
    <rPh sb="11" eb="12">
      <t>ハバ</t>
    </rPh>
    <rPh sb="13" eb="15">
      <t>キロク</t>
    </rPh>
    <phoneticPr fontId="18"/>
  </si>
  <si>
    <t>経済</t>
    <rPh sb="0" eb="2">
      <t>ケイザイ</t>
    </rPh>
    <phoneticPr fontId="18"/>
  </si>
  <si>
    <t>メキシコ</t>
    <phoneticPr fontId="18"/>
  </si>
  <si>
    <t>メキシコにて新たな外相が就任</t>
    <rPh sb="6" eb="7">
      <t>アラ</t>
    </rPh>
    <rPh sb="9" eb="11">
      <t>ガイショウ</t>
    </rPh>
    <rPh sb="12" eb="14">
      <t>シュウニン</t>
    </rPh>
    <phoneticPr fontId="18"/>
  </si>
  <si>
    <t>https://www.bloomberg.com/news/articles/2026-04-01/roberto-velasco-poised-to-be-mexico-s-top-diplomat-after-de-la-fuente-resigns</t>
    <phoneticPr fontId="1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</si>
</sst>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
      <sz val="9"/>
      <color theme="1"/>
      <name val="游ゴシック"/>
      <family val="3"/>
      <charset val="128"/>
      <scheme val="minor"/>
    </font>
    <font>
      <u/>
      <sz val="11"/>
      <color theme="10"/>
      <name val="游ゴシック"/>
      <family val="2"/>
      <charset val="128"/>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21" fillId="0" borderId="0" applyNumberFormat="0" applyFill="0" applyBorder="0" applyAlignment="0" applyProtection="0">
      <alignment vertical="center"/>
    </xf>
  </cellStyleXfs>
  <cellXfs count="6">
    <xf numFmtId="0" fontId="0" fillId="0" borderId="0" xfId="0">
      <alignment vertical="center"/>
    </xf>
    <xf numFmtId="14" fontId="0" fillId="0" borderId="0" xfId="0" applyNumberFormat="1">
      <alignment vertical="center"/>
    </xf>
    <xf numFmtId="0" fontId="0" fillId="33" borderId="0" xfId="0" applyFill="1">
      <alignment vertical="center"/>
    </xf>
    <xf numFmtId="0" fontId="19" fillId="33" borderId="0" xfId="0" applyFont="1" applyFill="1">
      <alignment vertical="center"/>
    </xf>
    <xf numFmtId="0" fontId="20" fillId="0" borderId="0" xfId="0" applyFont="1" applyProtection="1">
      <alignment vertical="center"/>
      <protection locked="0"/>
    </xf>
    <xf numFmtId="0" fontId="21" fillId="0" borderId="0" xfId="42">
      <alignment vertical="center"/>
    </xf>
  </cellXfs>
  <cellStyles count="43">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ハイパーリンク" xfId="42" builtinId="8"/>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row r="250">
          <cell r="A250" t="str">
            <v>コソボ</v>
          </cell>
          <cell r="B250" t="str">
            <v>XKK</v>
          </cell>
          <cell r="C250" t="str">
            <v>Kosovo</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bloomberg.com/news/articles/2026-03-31/paraguay-names-interim-finance-chief-after-fernandez-resigns" TargetMode="External"/><Relationship Id="rId2" Type="http://schemas.openxmlformats.org/officeDocument/2006/relationships/hyperlink" Target="https://www.bloomberg.com/news/articles/2026-03-30/russian-oil-shipment-buys-us-and-cuba-time-as-crisis-festers" TargetMode="External"/><Relationship Id="rId1" Type="http://schemas.openxmlformats.org/officeDocument/2006/relationships/hyperlink" Target="https://www.reuters.com/world/europe/exit-polls-suggest-italys-meloni-has-narrowly-lost-justice-referendum-vote-2026-03-23/" TargetMode="External"/><Relationship Id="rId5" Type="http://schemas.openxmlformats.org/officeDocument/2006/relationships/hyperlink" Target="https://www.bloomberg.com/news/articles/2026-04-01/roberto-velasco-poised-to-be-mexico-s-top-diplomat-after-de-la-fuente-resigns" TargetMode="External"/><Relationship Id="rId4" Type="http://schemas.openxmlformats.org/officeDocument/2006/relationships/hyperlink" Target="https://www.bloomberg.com/news/articles/2026-03-31/third-us-aircraft-carrier-heads-to-mideast-as-iran-war-continu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dimension ref="A1:S68"/>
  <sheetViews>
    <sheetView tabSelected="1" workbookViewId="0">
      <pane ySplit="1" topLeftCell="A14" activePane="bottomLeft" state="frozen"/>
      <selection pane="bottomLeft" activeCell="R22" sqref="R22"/>
    </sheetView>
  </sheetViews>
  <sheetFormatPr defaultRowHeight="18"/>
  <cols>
    <col min="1" max="2" width="8.796875" style="2"/>
    <col min="10" max="13" width="8.796875" style="2"/>
    <col min="16" max="16" width="10.19921875" bestFit="1" customWidth="1"/>
  </cols>
  <sheetData>
    <row r="1" spans="1:19">
      <c r="A1" s="2" t="s">
        <v>0</v>
      </c>
      <c r="B1" s="2" t="s">
        <v>1</v>
      </c>
      <c r="C1" t="s">
        <v>2</v>
      </c>
      <c r="D1" t="s">
        <v>3</v>
      </c>
      <c r="E1" t="s">
        <v>4</v>
      </c>
      <c r="F1" t="s">
        <v>5</v>
      </c>
      <c r="G1" t="s">
        <v>6</v>
      </c>
      <c r="H1" t="s">
        <v>7</v>
      </c>
      <c r="I1" t="s">
        <v>8</v>
      </c>
      <c r="J1" s="2" t="s">
        <v>9</v>
      </c>
      <c r="K1" s="2" t="s">
        <v>10</v>
      </c>
      <c r="L1" s="2" t="s">
        <v>11</v>
      </c>
      <c r="M1" s="2" t="s">
        <v>12</v>
      </c>
      <c r="N1" t="s">
        <v>13</v>
      </c>
      <c r="O1" t="s">
        <v>14</v>
      </c>
      <c r="P1" t="s">
        <v>15</v>
      </c>
      <c r="Q1" t="s">
        <v>16</v>
      </c>
      <c r="R1" t="s">
        <v>17</v>
      </c>
      <c r="S1" t="s">
        <v>18</v>
      </c>
    </row>
    <row r="2" spans="1:19">
      <c r="A2" s="2" t="str">
        <f>IF(C2="","",VLOOKUP(C2,[1]ISO辞書!A:C,2,FALSE))</f>
        <v>ISR</v>
      </c>
      <c r="B2" s="3" t="str">
        <f>IF(C2="","",VLOOKUP(C2,[1]ISO辞書!A:C,3,FALSE))</f>
        <v>Israel</v>
      </c>
      <c r="C2" t="s">
        <v>28</v>
      </c>
      <c r="D2" t="s">
        <v>56</v>
      </c>
      <c r="E2" t="s">
        <v>57</v>
      </c>
      <c r="F2" t="s">
        <v>30</v>
      </c>
      <c r="G2" t="s">
        <v>29</v>
      </c>
      <c r="J2" s="2" t="str">
        <f>IF(G2="","",VLOOKUP(G2,[1]ISO辞書!A:B,2,FALSE))</f>
        <v>LBN</v>
      </c>
      <c r="K2" s="2" t="str">
        <f>IF(H2="","",VLOOKUP(H2,[1]ISO辞書!A:B,2,FALSE))</f>
        <v/>
      </c>
      <c r="L2" s="2" t="str">
        <f>IF(I2="","",VLOOKUP(I2,[1]ISO辞書!A:B,2,FALSE))</f>
        <v/>
      </c>
      <c r="M2" s="3" t="str">
        <f>_xlfn.TEXTJOIN(";",TRUE,J2:L2)</f>
        <v>LBN</v>
      </c>
      <c r="N2" t="s">
        <v>37</v>
      </c>
      <c r="O2" t="s">
        <v>22</v>
      </c>
      <c r="P2" s="1">
        <v>46104</v>
      </c>
      <c r="Q2" t="s">
        <v>27</v>
      </c>
      <c r="R2" s="4" t="s">
        <v>26</v>
      </c>
      <c r="S2">
        <v>4</v>
      </c>
    </row>
    <row r="3" spans="1:19">
      <c r="A3" s="2" t="str">
        <f>IF(C3="","",VLOOKUP(C3,[1]ISO辞書!A:C,2,FALSE))</f>
        <v>SVN</v>
      </c>
      <c r="B3" s="3" t="str">
        <f>IF(C3="","",VLOOKUP(C3,[1]ISO辞書!A:C,3,FALSE))</f>
        <v>Slovenia</v>
      </c>
      <c r="C3" t="s">
        <v>59</v>
      </c>
      <c r="D3" t="s">
        <v>60</v>
      </c>
      <c r="E3" t="s">
        <v>61</v>
      </c>
      <c r="F3" t="s">
        <v>62</v>
      </c>
      <c r="J3" s="2" t="str">
        <f>IF(G3="","",VLOOKUP(G3,[1]ISO辞書!A:B,2,FALSE))</f>
        <v/>
      </c>
      <c r="K3" s="2" t="str">
        <f>IF(H3="","",VLOOKUP(H3,[1]ISO辞書!A:B,2,FALSE))</f>
        <v/>
      </c>
      <c r="L3" s="2" t="str">
        <f>IF(I3="","",VLOOKUP(I3,[1]ISO辞書!A:B,2,FALSE))</f>
        <v/>
      </c>
      <c r="M3" s="3" t="str">
        <f t="shared" ref="M3:M65" si="0">_xlfn.TEXTJOIN(";",TRUE,J3:L3)</f>
        <v/>
      </c>
      <c r="N3" t="s">
        <v>45</v>
      </c>
      <c r="O3" t="s">
        <v>24</v>
      </c>
      <c r="P3" s="1">
        <v>46103</v>
      </c>
      <c r="Q3" t="s">
        <v>27</v>
      </c>
      <c r="R3" t="s">
        <v>58</v>
      </c>
      <c r="S3">
        <v>2</v>
      </c>
    </row>
    <row r="4" spans="1:19">
      <c r="A4" s="2" t="str">
        <f>IF(C4="","",VLOOKUP(C4,[1]ISO辞書!A:C,2,FALSE))</f>
        <v>ITA</v>
      </c>
      <c r="B4" s="3" t="str">
        <f>IF(C4="","",VLOOKUP(C4,[1]ISO辞書!A:C,3,FALSE))</f>
        <v>Italy</v>
      </c>
      <c r="C4" t="s">
        <v>64</v>
      </c>
      <c r="D4" t="s">
        <v>63</v>
      </c>
      <c r="E4" t="s">
        <v>67</v>
      </c>
      <c r="F4" t="s">
        <v>66</v>
      </c>
      <c r="J4" s="2" t="str">
        <f>IF(G4="","",VLOOKUP(G4,[1]ISO辞書!A:B,2,FALSE))</f>
        <v/>
      </c>
      <c r="K4" s="2" t="str">
        <f>IF(H4="","",VLOOKUP(H4,[1]ISO辞書!A:B,2,FALSE))</f>
        <v/>
      </c>
      <c r="L4" s="2" t="str">
        <f>IF(I4="","",VLOOKUP(I4,[1]ISO辞書!A:B,2,FALSE))</f>
        <v/>
      </c>
      <c r="M4" s="3" t="str">
        <f t="shared" si="0"/>
        <v/>
      </c>
      <c r="N4" t="s">
        <v>45</v>
      </c>
      <c r="O4" t="s">
        <v>24</v>
      </c>
      <c r="P4" s="1">
        <v>46104</v>
      </c>
      <c r="Q4" t="s">
        <v>27</v>
      </c>
      <c r="R4" s="5" t="s">
        <v>65</v>
      </c>
      <c r="S4">
        <v>5</v>
      </c>
    </row>
    <row r="5" spans="1:19">
      <c r="A5" s="2" t="str">
        <f>IF(C5="","",VLOOKUP(C5,[1]ISO辞書!A:C,2,FALSE))</f>
        <v>CUB</v>
      </c>
      <c r="B5" s="3" t="str">
        <f>IF(C5="","",VLOOKUP(C5,[1]ISO辞書!A:C,3,FALSE))</f>
        <v>Cuba</v>
      </c>
      <c r="C5" t="s">
        <v>70</v>
      </c>
      <c r="D5" t="s">
        <v>71</v>
      </c>
      <c r="E5" t="s">
        <v>72</v>
      </c>
      <c r="F5" t="s">
        <v>73</v>
      </c>
      <c r="G5" t="s">
        <v>74</v>
      </c>
      <c r="H5" t="s">
        <v>75</v>
      </c>
      <c r="J5" s="2" t="str">
        <f>IF(G5="","",VLOOKUP(G5,[1]ISO辞書!A:B,2,FALSE))</f>
        <v>RUS</v>
      </c>
      <c r="K5" s="2" t="str">
        <f>IF(H5="","",VLOOKUP(H5,[1]ISO辞書!A:B,2,FALSE))</f>
        <v>USA</v>
      </c>
      <c r="L5" s="2" t="str">
        <f>IF(I5="","",VLOOKUP(I5,[1]ISO辞書!A:B,2,FALSE))</f>
        <v/>
      </c>
      <c r="M5" s="3" t="str">
        <f t="shared" si="0"/>
        <v>RUS;USA</v>
      </c>
      <c r="N5" t="s">
        <v>31</v>
      </c>
      <c r="O5" t="s">
        <v>49</v>
      </c>
      <c r="P5" s="1">
        <v>46111</v>
      </c>
      <c r="Q5" t="s">
        <v>68</v>
      </c>
      <c r="R5" s="5" t="s">
        <v>69</v>
      </c>
      <c r="S5">
        <v>3</v>
      </c>
    </row>
    <row r="6" spans="1:19">
      <c r="A6" s="2" t="str">
        <f>IF(C6="","",VLOOKUP(C6,[1]ISO辞書!A:C,2,FALSE))</f>
        <v>PRY</v>
      </c>
      <c r="B6" s="3" t="str">
        <f>IF(C6="","",VLOOKUP(C6,[1]ISO辞書!A:C,3,FALSE))</f>
        <v>Paraguay</v>
      </c>
      <c r="C6" t="s">
        <v>77</v>
      </c>
      <c r="D6" t="s">
        <v>76</v>
      </c>
      <c r="E6" t="s">
        <v>78</v>
      </c>
      <c r="F6" t="s">
        <v>66</v>
      </c>
      <c r="J6" s="2" t="str">
        <f>IF(G6="","",VLOOKUP(G6,[1]ISO辞書!A:B,2,FALSE))</f>
        <v/>
      </c>
      <c r="K6" s="2" t="str">
        <f>IF(H6="","",VLOOKUP(H6,[1]ISO辞書!A:B,2,FALSE))</f>
        <v/>
      </c>
      <c r="L6" s="2" t="str">
        <f>IF(I6="","",VLOOKUP(I6,[1]ISO辞書!A:B,2,FALSE))</f>
        <v/>
      </c>
      <c r="M6" s="3" t="str">
        <f t="shared" si="0"/>
        <v/>
      </c>
      <c r="N6" t="s">
        <v>45</v>
      </c>
      <c r="O6" t="s">
        <v>24</v>
      </c>
      <c r="P6" s="1">
        <v>46112</v>
      </c>
      <c r="Q6" t="s">
        <v>68</v>
      </c>
      <c r="R6" s="5" t="s">
        <v>79</v>
      </c>
      <c r="S6">
        <v>1</v>
      </c>
    </row>
    <row r="7" spans="1:19">
      <c r="A7" s="2" t="str">
        <f>IF(C7="","",VLOOKUP(C7,[1]ISO辞書!A:C,2,FALSE))</f>
        <v>USA</v>
      </c>
      <c r="B7" s="3" t="str">
        <f>IF(C7="","",VLOOKUP(C7,[1]ISO辞書!A:C,3,FALSE))</f>
        <v>America</v>
      </c>
      <c r="C7" t="s">
        <v>75</v>
      </c>
      <c r="D7" t="s">
        <v>80</v>
      </c>
      <c r="E7" t="s">
        <v>81</v>
      </c>
      <c r="F7" t="s">
        <v>30</v>
      </c>
      <c r="G7" t="s">
        <v>82</v>
      </c>
      <c r="J7" s="2" t="str">
        <f>IF(G7="","",VLOOKUP(G7,[1]ISO辞書!A:B,2,FALSE))</f>
        <v>IRN</v>
      </c>
      <c r="K7" s="2" t="str">
        <f>IF(H7="","",VLOOKUP(H7,[1]ISO辞書!A:B,2,FALSE))</f>
        <v/>
      </c>
      <c r="L7" s="2" t="str">
        <f>IF(I7="","",VLOOKUP(I7,[1]ISO辞書!A:B,2,FALSE))</f>
        <v/>
      </c>
      <c r="M7" s="3" t="str">
        <f t="shared" si="0"/>
        <v>IRN</v>
      </c>
      <c r="N7" t="s">
        <v>37</v>
      </c>
      <c r="O7" t="s">
        <v>22</v>
      </c>
      <c r="P7" s="1">
        <v>46112</v>
      </c>
      <c r="Q7" t="s">
        <v>68</v>
      </c>
      <c r="R7" s="5" t="s">
        <v>83</v>
      </c>
      <c r="S7">
        <v>5</v>
      </c>
    </row>
    <row r="8" spans="1:19">
      <c r="A8" s="2" t="str">
        <f>IF(C8="","",VLOOKUP(C8,[1]ISO辞書!A:C,2,FALSE))</f>
        <v>LBN</v>
      </c>
      <c r="B8" s="3" t="str">
        <f>IF(C8="","",VLOOKUP(C8,[1]ISO辞書!A:C,3,FALSE))</f>
        <v>Lebanon</v>
      </c>
      <c r="C8" t="s">
        <v>29</v>
      </c>
      <c r="D8" t="s">
        <v>86</v>
      </c>
      <c r="E8" t="s">
        <v>87</v>
      </c>
      <c r="F8" t="s">
        <v>30</v>
      </c>
      <c r="G8" t="s">
        <v>28</v>
      </c>
      <c r="J8" s="2" t="str">
        <f>IF(G8="","",VLOOKUP(G8,[1]ISO辞書!A:B,2,FALSE))</f>
        <v>ISR</v>
      </c>
      <c r="K8" s="2" t="str">
        <f>IF(H8="","",VLOOKUP(H8,[1]ISO辞書!A:B,2,FALSE))</f>
        <v/>
      </c>
      <c r="L8" s="2" t="str">
        <f>IF(I8="","",VLOOKUP(I8,[1]ISO辞書!A:B,2,FALSE))</f>
        <v/>
      </c>
      <c r="M8" s="3" t="str">
        <f t="shared" si="0"/>
        <v>ISR</v>
      </c>
      <c r="N8" t="s">
        <v>37</v>
      </c>
      <c r="O8" t="s">
        <v>22</v>
      </c>
      <c r="P8" s="1">
        <v>46111</v>
      </c>
      <c r="Q8" t="s">
        <v>27</v>
      </c>
      <c r="R8" t="s">
        <v>85</v>
      </c>
      <c r="S8">
        <v>2</v>
      </c>
    </row>
    <row r="9" spans="1:19">
      <c r="A9" s="2" t="str">
        <f>IF(C9="","",VLOOKUP(C9,[1]ISO辞書!A:C,2,FALSE))</f>
        <v>GBR</v>
      </c>
      <c r="B9" s="3" t="str">
        <f>IF(C9="","",VLOOKUP(C9,[1]ISO辞書!A:C,3,FALSE))</f>
        <v>Britain</v>
      </c>
      <c r="C9" t="s">
        <v>89</v>
      </c>
      <c r="D9" t="s">
        <v>90</v>
      </c>
      <c r="E9" t="s">
        <v>91</v>
      </c>
      <c r="F9" t="s">
        <v>92</v>
      </c>
      <c r="G9" t="s">
        <v>93</v>
      </c>
      <c r="J9" s="2" t="str">
        <f>IF(G9="","",VLOOKUP(G9,[1]ISO辞書!A:B,2,FALSE))</f>
        <v>SYR</v>
      </c>
      <c r="K9" s="2" t="str">
        <f>IF(H9="","",VLOOKUP(H9,[1]ISO辞書!A:B,2,FALSE))</f>
        <v/>
      </c>
      <c r="L9" s="2" t="str">
        <f>IF(I9="","",VLOOKUP(I9,[1]ISO辞書!A:B,2,FALSE))</f>
        <v/>
      </c>
      <c r="M9" s="3" t="str">
        <f t="shared" si="0"/>
        <v>SYR</v>
      </c>
      <c r="N9" t="s">
        <v>31</v>
      </c>
      <c r="O9" t="s">
        <v>21</v>
      </c>
      <c r="P9" s="1">
        <v>46112</v>
      </c>
      <c r="Q9" t="s">
        <v>27</v>
      </c>
      <c r="R9" t="s">
        <v>88</v>
      </c>
      <c r="S9">
        <v>3</v>
      </c>
    </row>
    <row r="10" spans="1:19">
      <c r="A10" s="2" t="str">
        <f>IF(C10="","",VLOOKUP(C10,[1]ISO辞書!A:C,2,FALSE))</f>
        <v>ISR</v>
      </c>
      <c r="B10" s="3" t="str">
        <f>IF(C10="","",VLOOKUP(C10,[1]ISO辞書!A:C,3,FALSE))</f>
        <v>Israel</v>
      </c>
      <c r="C10" t="s">
        <v>28</v>
      </c>
      <c r="D10" t="s">
        <v>95</v>
      </c>
      <c r="E10" t="s">
        <v>96</v>
      </c>
      <c r="F10" t="s">
        <v>30</v>
      </c>
      <c r="G10" t="s">
        <v>29</v>
      </c>
      <c r="J10" s="2" t="str">
        <f>IF(G10="","",VLOOKUP(G10,[1]ISO辞書!A:B,2,FALSE))</f>
        <v>LBN</v>
      </c>
      <c r="K10" s="2" t="str">
        <f>IF(H10="","",VLOOKUP(H10,[1]ISO辞書!A:B,2,FALSE))</f>
        <v/>
      </c>
      <c r="L10" s="2" t="str">
        <f>IF(I10="","",VLOOKUP(I10,[1]ISO辞書!A:B,2,FALSE))</f>
        <v/>
      </c>
      <c r="M10" s="3" t="str">
        <f t="shared" si="0"/>
        <v>LBN</v>
      </c>
      <c r="N10" t="s">
        <v>37</v>
      </c>
      <c r="O10" t="s">
        <v>22</v>
      </c>
      <c r="P10" s="1">
        <v>46112</v>
      </c>
      <c r="Q10" t="s">
        <v>27</v>
      </c>
      <c r="R10" t="s">
        <v>94</v>
      </c>
      <c r="S10">
        <v>4</v>
      </c>
    </row>
    <row r="11" spans="1:19">
      <c r="A11" s="2" t="str">
        <f>IF(C11="","",VLOOKUP(C11,[1]ISO辞書!A:C,2,FALSE))</f>
        <v>UKR</v>
      </c>
      <c r="B11" s="3" t="str">
        <f>IF(C11="","",VLOOKUP(C11,[1]ISO辞書!A:C,3,FALSE))</f>
        <v>Ukraine</v>
      </c>
      <c r="C11" t="s">
        <v>84</v>
      </c>
      <c r="D11" t="s">
        <v>98</v>
      </c>
      <c r="E11" t="s">
        <v>99</v>
      </c>
      <c r="F11" t="s">
        <v>92</v>
      </c>
      <c r="G11" t="s">
        <v>100</v>
      </c>
      <c r="J11" s="2" t="str">
        <f>IF(G11="","",VLOOKUP(G11,[1]ISO辞書!A:B,2,FALSE))</f>
        <v>JOR</v>
      </c>
      <c r="K11" s="2" t="str">
        <f>IF(H11="","",VLOOKUP(H11,[1]ISO辞書!A:B,2,FALSE))</f>
        <v/>
      </c>
      <c r="L11" s="2" t="str">
        <f>IF(I11="","",VLOOKUP(I11,[1]ISO辞書!A:B,2,FALSE))</f>
        <v/>
      </c>
      <c r="M11" s="3" t="str">
        <f t="shared" si="0"/>
        <v>JOR</v>
      </c>
      <c r="N11" t="s">
        <v>31</v>
      </c>
      <c r="O11" t="s">
        <v>21</v>
      </c>
      <c r="P11" s="1">
        <v>46110</v>
      </c>
      <c r="Q11" t="s">
        <v>27</v>
      </c>
      <c r="R11" t="s">
        <v>97</v>
      </c>
      <c r="S11">
        <v>2</v>
      </c>
    </row>
    <row r="12" spans="1:19">
      <c r="A12" s="2" t="str">
        <f>IF(C12="","",VLOOKUP(C12,[1]ISO辞書!A:C,2,FALSE))</f>
        <v>RUS</v>
      </c>
      <c r="B12" s="3" t="str">
        <f>IF(C12="","",VLOOKUP(C12,[1]ISO辞書!A:C,3,FALSE))</f>
        <v>Russian Federation</v>
      </c>
      <c r="C12" t="s">
        <v>74</v>
      </c>
      <c r="D12" t="s">
        <v>102</v>
      </c>
      <c r="E12" t="s">
        <v>103</v>
      </c>
      <c r="F12" t="s">
        <v>92</v>
      </c>
      <c r="G12" t="s">
        <v>89</v>
      </c>
      <c r="J12" s="2" t="str">
        <f>IF(G12="","",VLOOKUP(G12,[1]ISO辞書!A:B,2,FALSE))</f>
        <v>GBR</v>
      </c>
      <c r="K12" s="2" t="str">
        <f>IF(H12="","",VLOOKUP(H12,[1]ISO辞書!A:B,2,FALSE))</f>
        <v/>
      </c>
      <c r="L12" s="2" t="str">
        <f>IF(I12="","",VLOOKUP(I12,[1]ISO辞書!A:B,2,FALSE))</f>
        <v/>
      </c>
      <c r="M12" s="3" t="str">
        <f t="shared" si="0"/>
        <v>GBR</v>
      </c>
      <c r="N12" t="s">
        <v>31</v>
      </c>
      <c r="O12" t="s">
        <v>21</v>
      </c>
      <c r="P12" s="1">
        <v>46111</v>
      </c>
      <c r="Q12" t="s">
        <v>27</v>
      </c>
      <c r="R12" t="s">
        <v>101</v>
      </c>
      <c r="S12">
        <v>2</v>
      </c>
    </row>
    <row r="13" spans="1:19">
      <c r="A13" s="2" t="str">
        <f>IF(C13="","",VLOOKUP(C13,[1]ISO辞書!A:C,2,FALSE))</f>
        <v>ITA</v>
      </c>
      <c r="B13" s="3" t="str">
        <f>IF(C13="","",VLOOKUP(C13,[1]ISO辞書!A:C,3,FALSE))</f>
        <v>Italy</v>
      </c>
      <c r="C13" t="s">
        <v>64</v>
      </c>
      <c r="D13" t="s">
        <v>105</v>
      </c>
      <c r="E13" t="s">
        <v>106</v>
      </c>
      <c r="F13" t="s">
        <v>92</v>
      </c>
      <c r="G13" t="s">
        <v>75</v>
      </c>
      <c r="J13" s="2" t="str">
        <f>IF(G13="","",VLOOKUP(G13,[1]ISO辞書!A:B,2,FALSE))</f>
        <v>USA</v>
      </c>
      <c r="K13" s="2" t="str">
        <f>IF(H13="","",VLOOKUP(H13,[1]ISO辞書!A:B,2,FALSE))</f>
        <v/>
      </c>
      <c r="L13" s="2" t="str">
        <f>IF(I13="","",VLOOKUP(I13,[1]ISO辞書!A:B,2,FALSE))</f>
        <v/>
      </c>
      <c r="M13" s="3" t="str">
        <f t="shared" si="0"/>
        <v>USA</v>
      </c>
      <c r="N13" t="s">
        <v>31</v>
      </c>
      <c r="O13" t="s">
        <v>21</v>
      </c>
      <c r="P13" s="1">
        <v>46112</v>
      </c>
      <c r="Q13" t="s">
        <v>27</v>
      </c>
      <c r="R13" t="s">
        <v>104</v>
      </c>
      <c r="S13">
        <v>3</v>
      </c>
    </row>
    <row r="14" spans="1:19">
      <c r="A14" s="2" t="str">
        <f>IF(C14="","",VLOOKUP(C14,[1]ISO辞書!A:C,2,FALSE))</f>
        <v>FRA</v>
      </c>
      <c r="B14" s="3" t="str">
        <f>IF(C14="","",VLOOKUP(C14,[1]ISO辞書!A:C,3,FALSE))</f>
        <v>France</v>
      </c>
      <c r="C14" t="s">
        <v>107</v>
      </c>
      <c r="D14" t="s">
        <v>108</v>
      </c>
      <c r="E14" t="s">
        <v>109</v>
      </c>
      <c r="F14" t="s">
        <v>92</v>
      </c>
      <c r="G14" t="s">
        <v>28</v>
      </c>
      <c r="H14" t="s">
        <v>75</v>
      </c>
      <c r="J14" s="2" t="str">
        <f>IF(G14="","",VLOOKUP(G14,[1]ISO辞書!A:B,2,FALSE))</f>
        <v>ISR</v>
      </c>
      <c r="K14" s="2" t="str">
        <f>IF(H14="","",VLOOKUP(H14,[1]ISO辞書!A:B,2,FALSE))</f>
        <v>USA</v>
      </c>
      <c r="L14" s="2" t="str">
        <f>IF(I14="","",VLOOKUP(I14,[1]ISO辞書!A:B,2,FALSE))</f>
        <v/>
      </c>
      <c r="M14" s="3" t="str">
        <f t="shared" si="0"/>
        <v>ISR;USA</v>
      </c>
      <c r="N14" t="s">
        <v>31</v>
      </c>
      <c r="O14" t="s">
        <v>21</v>
      </c>
      <c r="P14" s="1">
        <v>46112</v>
      </c>
      <c r="Q14" t="s">
        <v>27</v>
      </c>
      <c r="R14" t="s">
        <v>110</v>
      </c>
      <c r="S14">
        <v>3</v>
      </c>
    </row>
    <row r="15" spans="1:19">
      <c r="A15" s="2" t="str">
        <f>IF(C15="","",VLOOKUP(C15,[1]ISO辞書!A:C,2,FALSE))</f>
        <v>NPL</v>
      </c>
      <c r="B15" s="3" t="str">
        <f>IF(C15="","",VLOOKUP(C15,[1]ISO辞書!A:C,3,FALSE))</f>
        <v>Nepal</v>
      </c>
      <c r="C15" t="s">
        <v>111</v>
      </c>
      <c r="D15" t="s">
        <v>112</v>
      </c>
      <c r="E15" t="s">
        <v>113</v>
      </c>
      <c r="F15" t="s">
        <v>66</v>
      </c>
      <c r="J15" s="2" t="str">
        <f>IF(G15="","",VLOOKUP(G15,[1]ISO辞書!A:B,2,FALSE))</f>
        <v/>
      </c>
      <c r="K15" s="2" t="str">
        <f>IF(H15="","",VLOOKUP(H15,[1]ISO辞書!A:B,2,FALSE))</f>
        <v/>
      </c>
      <c r="L15" s="2" t="str">
        <f>IF(I15="","",VLOOKUP(I15,[1]ISO辞書!A:B,2,FALSE))</f>
        <v/>
      </c>
      <c r="M15" s="3" t="str">
        <f t="shared" si="0"/>
        <v/>
      </c>
      <c r="N15" t="s">
        <v>45</v>
      </c>
      <c r="O15" t="s">
        <v>24</v>
      </c>
      <c r="P15" s="1">
        <v>46109</v>
      </c>
      <c r="Q15" t="s">
        <v>27</v>
      </c>
      <c r="R15" t="s">
        <v>114</v>
      </c>
      <c r="S15">
        <v>2</v>
      </c>
    </row>
    <row r="16" spans="1:19">
      <c r="A16" s="2" t="str">
        <f>IF(C16="","",VLOOKUP(C16,[1]ISO辞書!A:C,2,FALSE))</f>
        <v>AFG</v>
      </c>
      <c r="B16" s="3" t="str">
        <f>IF(C16="","",VLOOKUP(C16,[1]ISO辞書!A:C,3,FALSE))</f>
        <v>Afghanistan</v>
      </c>
      <c r="C16" t="s">
        <v>115</v>
      </c>
      <c r="D16" t="s">
        <v>116</v>
      </c>
      <c r="E16" t="s">
        <v>117</v>
      </c>
      <c r="F16" t="s">
        <v>118</v>
      </c>
      <c r="G16" t="s">
        <v>119</v>
      </c>
      <c r="J16" s="2" t="str">
        <f>IF(G16="","",VLOOKUP(G16,[1]ISO辞書!A:B,2,FALSE))</f>
        <v>PAK</v>
      </c>
      <c r="K16" s="2" t="str">
        <f>IF(H16="","",VLOOKUP(H16,[1]ISO辞書!A:B,2,FALSE))</f>
        <v/>
      </c>
      <c r="L16" s="2" t="str">
        <f>IF(I16="","",VLOOKUP(I16,[1]ISO辞書!A:B,2,FALSE))</f>
        <v/>
      </c>
      <c r="M16" s="3" t="str">
        <f t="shared" si="0"/>
        <v>PAK</v>
      </c>
      <c r="N16" t="s">
        <v>46</v>
      </c>
      <c r="O16" t="s">
        <v>53</v>
      </c>
      <c r="P16" s="1">
        <v>46111</v>
      </c>
      <c r="Q16" t="s">
        <v>27</v>
      </c>
      <c r="R16" t="s">
        <v>120</v>
      </c>
      <c r="S16">
        <v>1</v>
      </c>
    </row>
    <row r="17" spans="1:19">
      <c r="A17" s="2" t="str">
        <f>IF(C17="","",VLOOKUP(C17,[1]ISO辞書!A:C,2,FALSE))</f>
        <v>XKK</v>
      </c>
      <c r="B17" s="3" t="str">
        <f>IF(C17="","",VLOOKUP(C17,[1]ISO辞書!A:C,3,FALSE))</f>
        <v>Kosovo</v>
      </c>
      <c r="C17" t="s">
        <v>122</v>
      </c>
      <c r="D17" t="s">
        <v>123</v>
      </c>
      <c r="E17" t="s">
        <v>125</v>
      </c>
      <c r="F17" t="s">
        <v>30</v>
      </c>
      <c r="G17" t="s">
        <v>75</v>
      </c>
      <c r="H17" t="s">
        <v>28</v>
      </c>
      <c r="I17" t="s">
        <v>124</v>
      </c>
      <c r="J17" s="2" t="str">
        <f>IF(G17="","",VLOOKUP(G17,[1]ISO辞書!A:B,2,FALSE))</f>
        <v>USA</v>
      </c>
      <c r="K17" s="2" t="str">
        <f>IF(H17="","",VLOOKUP(H17,[1]ISO辞書!A:B,2,FALSE))</f>
        <v>ISR</v>
      </c>
      <c r="L17" s="2" t="str">
        <f>IF(I17="","",VLOOKUP(I17,[1]ISO辞書!A:B,2,FALSE))</f>
        <v>PSE</v>
      </c>
      <c r="M17" s="3" t="str">
        <f t="shared" si="0"/>
        <v>USA;ISR;PSE</v>
      </c>
      <c r="N17" t="s">
        <v>31</v>
      </c>
      <c r="O17" t="s">
        <v>22</v>
      </c>
      <c r="P17" s="1">
        <v>46111</v>
      </c>
      <c r="Q17" t="s">
        <v>27</v>
      </c>
      <c r="R17" t="s">
        <v>121</v>
      </c>
      <c r="S17">
        <v>2</v>
      </c>
    </row>
    <row r="18" spans="1:19">
      <c r="A18" s="2" t="str">
        <f>IF(C18="","",VLOOKUP(C18,[1]ISO辞書!A:C,2,FALSE))</f>
        <v>PAK</v>
      </c>
      <c r="B18" s="3" t="str">
        <f>IF(C18="","",VLOOKUP(C18,[1]ISO辞書!A:C,3,FALSE))</f>
        <v>Pakistan</v>
      </c>
      <c r="C18" t="s">
        <v>119</v>
      </c>
      <c r="D18" t="s">
        <v>127</v>
      </c>
      <c r="E18" t="s">
        <v>128</v>
      </c>
      <c r="F18" t="s">
        <v>30</v>
      </c>
      <c r="G18" t="s">
        <v>115</v>
      </c>
      <c r="J18" s="2" t="str">
        <f>IF(G18="","",VLOOKUP(G18,[1]ISO辞書!A:B,2,FALSE))</f>
        <v>AFG</v>
      </c>
      <c r="K18" s="2" t="str">
        <f>IF(H18="","",VLOOKUP(H18,[1]ISO辞書!A:B,2,FALSE))</f>
        <v/>
      </c>
      <c r="L18" s="2" t="str">
        <f>IF(I18="","",VLOOKUP(I18,[1]ISO辞書!A:B,2,FALSE))</f>
        <v/>
      </c>
      <c r="M18" s="3" t="str">
        <f t="shared" si="0"/>
        <v>AFG</v>
      </c>
      <c r="N18" t="s">
        <v>37</v>
      </c>
      <c r="O18" t="s">
        <v>22</v>
      </c>
      <c r="P18" s="1">
        <v>46111</v>
      </c>
      <c r="Q18" t="s">
        <v>27</v>
      </c>
      <c r="R18" t="s">
        <v>126</v>
      </c>
      <c r="S18">
        <v>4</v>
      </c>
    </row>
    <row r="19" spans="1:19">
      <c r="A19" s="2" t="str">
        <f>IF(C19="","",VLOOKUP(C19,[1]ISO辞書!A:C,2,FALSE))</f>
        <v>THA</v>
      </c>
      <c r="B19" s="3" t="str">
        <f>IF(C19="","",VLOOKUP(C19,[1]ISO辞書!A:C,3,FALSE))</f>
        <v>Thailand</v>
      </c>
      <c r="C19" t="s">
        <v>129</v>
      </c>
      <c r="D19" t="s">
        <v>130</v>
      </c>
      <c r="E19" t="s">
        <v>131</v>
      </c>
      <c r="F19" t="s">
        <v>66</v>
      </c>
      <c r="J19" s="2" t="str">
        <f>IF(G19="","",VLOOKUP(G19,[1]ISO辞書!A:B,2,FALSE))</f>
        <v/>
      </c>
      <c r="K19" s="2" t="str">
        <f>IF(H19="","",VLOOKUP(H19,[1]ISO辞書!A:B,2,FALSE))</f>
        <v/>
      </c>
      <c r="L19" s="2" t="str">
        <f>IF(I19="","",VLOOKUP(I19,[1]ISO辞書!A:B,2,FALSE))</f>
        <v/>
      </c>
      <c r="M19" s="3" t="str">
        <f t="shared" si="0"/>
        <v/>
      </c>
      <c r="N19" t="s">
        <v>45</v>
      </c>
      <c r="O19" t="s">
        <v>24</v>
      </c>
      <c r="P19" s="1">
        <v>46112</v>
      </c>
      <c r="Q19" t="s">
        <v>27</v>
      </c>
      <c r="R19" t="s">
        <v>132</v>
      </c>
      <c r="S19">
        <v>2</v>
      </c>
    </row>
    <row r="20" spans="1:19">
      <c r="A20" s="2" t="str">
        <f>IF(C20="","",VLOOKUP(C20,[1]ISO辞書!A:C,2,FALSE))</f>
        <v>KOR</v>
      </c>
      <c r="B20" s="3" t="str">
        <f>IF(C20="","",VLOOKUP(C20,[1]ISO辞書!A:C,3,FALSE))</f>
        <v>Korea</v>
      </c>
      <c r="C20" t="s">
        <v>134</v>
      </c>
      <c r="D20" t="s">
        <v>135</v>
      </c>
      <c r="E20" t="s">
        <v>136</v>
      </c>
      <c r="F20" t="s">
        <v>137</v>
      </c>
      <c r="J20" s="2" t="str">
        <f>IF(G20="","",VLOOKUP(G20,[1]ISO辞書!A:B,2,FALSE))</f>
        <v/>
      </c>
      <c r="K20" s="2" t="str">
        <f>IF(H20="","",VLOOKUP(H20,[1]ISO辞書!A:B,2,FALSE))</f>
        <v/>
      </c>
      <c r="L20" s="2" t="str">
        <f>IF(I20="","",VLOOKUP(I20,[1]ISO辞書!A:B,2,FALSE))</f>
        <v/>
      </c>
      <c r="M20" s="3" t="str">
        <f t="shared" si="0"/>
        <v/>
      </c>
      <c r="N20" t="s">
        <v>36</v>
      </c>
      <c r="O20" t="s">
        <v>52</v>
      </c>
      <c r="P20" s="1">
        <v>46112</v>
      </c>
      <c r="Q20" t="s">
        <v>27</v>
      </c>
      <c r="R20" t="s">
        <v>133</v>
      </c>
      <c r="S20">
        <v>4</v>
      </c>
    </row>
    <row r="21" spans="1:19">
      <c r="A21" s="2" t="str">
        <f>IF(C21="","",VLOOKUP(C21,[1]ISO辞書!A:C,2,FALSE))</f>
        <v>MEX</v>
      </c>
      <c r="B21" s="3" t="str">
        <f>IF(C21="","",VLOOKUP(C21,[1]ISO辞書!A:C,3,FALSE))</f>
        <v>Mexico</v>
      </c>
      <c r="C21" t="s">
        <v>138</v>
      </c>
      <c r="D21" t="s">
        <v>139</v>
      </c>
      <c r="F21" t="s">
        <v>66</v>
      </c>
      <c r="J21" s="2" t="str">
        <f>IF(G21="","",VLOOKUP(G21,[1]ISO辞書!A:B,2,FALSE))</f>
        <v/>
      </c>
      <c r="K21" s="2" t="str">
        <f>IF(H21="","",VLOOKUP(H21,[1]ISO辞書!A:B,2,FALSE))</f>
        <v/>
      </c>
      <c r="L21" s="2" t="str">
        <f>IF(I21="","",VLOOKUP(I21,[1]ISO辞書!A:B,2,FALSE))</f>
        <v/>
      </c>
      <c r="M21" s="3" t="str">
        <f t="shared" si="0"/>
        <v/>
      </c>
      <c r="N21" t="s">
        <v>45</v>
      </c>
      <c r="O21" t="s">
        <v>24</v>
      </c>
      <c r="P21" s="1">
        <v>46113</v>
      </c>
      <c r="Q21" t="s">
        <v>27</v>
      </c>
      <c r="R21" s="5" t="s">
        <v>140</v>
      </c>
      <c r="S21">
        <v>1</v>
      </c>
    </row>
    <row r="22" spans="1:19">
      <c r="A22" s="2" t="str">
        <f>IF(C22="","",VLOOKUP(C22,[1]ISO辞書!A:C,2,FALSE))</f>
        <v/>
      </c>
      <c r="B22" s="3" t="str">
        <f>IF(C22="","",VLOOKUP(C22,[1]ISO辞書!A:C,3,FALSE))</f>
        <v/>
      </c>
      <c r="J22" s="2" t="str">
        <f>IF(G22="","",VLOOKUP(G22,[1]ISO辞書!A:B,2,FALSE))</f>
        <v/>
      </c>
      <c r="K22" s="2" t="str">
        <f>IF(H22="","",VLOOKUP(H22,[1]ISO辞書!A:B,2,FALSE))</f>
        <v/>
      </c>
      <c r="L22" s="2" t="str">
        <f>IF(I22="","",VLOOKUP(I22,[1]ISO辞書!A:B,2,FALSE))</f>
        <v/>
      </c>
      <c r="M22" s="3" t="str">
        <f t="shared" si="0"/>
        <v/>
      </c>
      <c r="P22" s="1"/>
    </row>
    <row r="23" spans="1:19">
      <c r="A23" s="2" t="str">
        <f>IF(C23="","",VLOOKUP(C23,[1]ISO辞書!A:C,2,FALSE))</f>
        <v/>
      </c>
      <c r="B23" s="3" t="str">
        <f>IF(C23="","",VLOOKUP(C23,[1]ISO辞書!A:C,3,FALSE))</f>
        <v/>
      </c>
      <c r="J23" s="2" t="str">
        <f>IF(G23="","",VLOOKUP(G23,[1]ISO辞書!A:B,2,FALSE))</f>
        <v/>
      </c>
      <c r="K23" s="2" t="str">
        <f>IF(H23="","",VLOOKUP(H23,[1]ISO辞書!A:B,2,FALSE))</f>
        <v/>
      </c>
      <c r="L23" s="2" t="str">
        <f>IF(I23="","",VLOOKUP(I23,[1]ISO辞書!A:B,2,FALSE))</f>
        <v/>
      </c>
      <c r="M23" s="3" t="str">
        <f t="shared" si="0"/>
        <v/>
      </c>
      <c r="P23" s="1"/>
    </row>
    <row r="24" spans="1:19">
      <c r="A24" s="2" t="str">
        <f>IF(C24="","",VLOOKUP(C24,[1]ISO辞書!A:C,2,FALSE))</f>
        <v/>
      </c>
      <c r="B24" s="3" t="str">
        <f>IF(C24="","",VLOOKUP(C24,[1]ISO辞書!A:C,3,FALSE))</f>
        <v/>
      </c>
      <c r="J24" s="2" t="str">
        <f>IF(G24="","",VLOOKUP(G24,[1]ISO辞書!A:B,2,FALSE))</f>
        <v/>
      </c>
      <c r="K24" s="2" t="str">
        <f>IF(H24="","",VLOOKUP(H24,[1]ISO辞書!A:B,2,FALSE))</f>
        <v/>
      </c>
      <c r="L24" s="2" t="str">
        <f>IF(I24="","",VLOOKUP(I24,[1]ISO辞書!A:B,2,FALSE))</f>
        <v/>
      </c>
      <c r="M24" s="3" t="str">
        <f t="shared" si="0"/>
        <v/>
      </c>
      <c r="P24" s="1"/>
    </row>
    <row r="25" spans="1:19">
      <c r="A25" s="2" t="str">
        <f>IF(C25="","",VLOOKUP(C25,[1]ISO辞書!A:C,2,FALSE))</f>
        <v/>
      </c>
      <c r="B25" s="3" t="str">
        <f>IF(C25="","",VLOOKUP(C25,[1]ISO辞書!A:C,3,FALSE))</f>
        <v/>
      </c>
      <c r="J25" s="2" t="str">
        <f>IF(G25="","",VLOOKUP(G25,[1]ISO辞書!A:B,2,FALSE))</f>
        <v/>
      </c>
      <c r="K25" s="2" t="str">
        <f>IF(H25="","",VLOOKUP(H25,[1]ISO辞書!A:B,2,FALSE))</f>
        <v/>
      </c>
      <c r="L25" s="2" t="str">
        <f>IF(I25="","",VLOOKUP(I25,[1]ISO辞書!A:B,2,FALSE))</f>
        <v/>
      </c>
      <c r="M25" s="3" t="str">
        <f t="shared" si="0"/>
        <v/>
      </c>
      <c r="P25" s="1"/>
    </row>
    <row r="26" spans="1:19">
      <c r="A26" s="2" t="str">
        <f>IF(C26="","",VLOOKUP(C26,[1]ISO辞書!A:C,2,FALSE))</f>
        <v/>
      </c>
      <c r="B26" s="3" t="str">
        <f>IF(C26="","",VLOOKUP(C26,[1]ISO辞書!A:C,3,FALSE))</f>
        <v/>
      </c>
      <c r="J26" s="2" t="str">
        <f>IF(G26="","",VLOOKUP(G26,[1]ISO辞書!A:B,2,FALSE))</f>
        <v/>
      </c>
      <c r="K26" s="2" t="str">
        <f>IF(H26="","",VLOOKUP(H26,[1]ISO辞書!A:B,2,FALSE))</f>
        <v/>
      </c>
      <c r="L26" s="2" t="str">
        <f>IF(I26="","",VLOOKUP(I26,[1]ISO辞書!A:B,2,FALSE))</f>
        <v/>
      </c>
      <c r="M26" s="3" t="str">
        <f t="shared" si="0"/>
        <v/>
      </c>
      <c r="P26" s="1"/>
    </row>
    <row r="27" spans="1:19">
      <c r="A27" s="2" t="str">
        <f>IF(C27="","",VLOOKUP(C27,[1]ISO辞書!A:C,2,FALSE))</f>
        <v/>
      </c>
      <c r="B27" s="3" t="str">
        <f>IF(C27="","",VLOOKUP(C27,[1]ISO辞書!A:C,3,FALSE))</f>
        <v/>
      </c>
      <c r="J27" s="2" t="str">
        <f>IF(G27="","",VLOOKUP(G27,[1]ISO辞書!A:B,2,FALSE))</f>
        <v/>
      </c>
      <c r="K27" s="2" t="str">
        <f>IF(H27="","",VLOOKUP(H27,[1]ISO辞書!A:B,2,FALSE))</f>
        <v/>
      </c>
      <c r="L27" s="2" t="str">
        <f>IF(I27="","",VLOOKUP(I27,[1]ISO辞書!A:B,2,FALSE))</f>
        <v/>
      </c>
      <c r="M27" s="3" t="str">
        <f t="shared" si="0"/>
        <v/>
      </c>
      <c r="P27" s="1"/>
    </row>
    <row r="28" spans="1:19">
      <c r="A28" s="2" t="str">
        <f>IF(C28="","",VLOOKUP(C28,[1]ISO辞書!A:C,2,FALSE))</f>
        <v/>
      </c>
      <c r="B28" s="3" t="str">
        <f>IF(C28="","",VLOOKUP(C28,[1]ISO辞書!A:C,3,FALSE))</f>
        <v/>
      </c>
      <c r="J28" s="2" t="str">
        <f>IF(G28="","",VLOOKUP(G28,[1]ISO辞書!A:B,2,FALSE))</f>
        <v/>
      </c>
      <c r="K28" s="2" t="str">
        <f>IF(H28="","",VLOOKUP(H28,[1]ISO辞書!A:B,2,FALSE))</f>
        <v/>
      </c>
      <c r="L28" s="2" t="str">
        <f>IF(I28="","",VLOOKUP(I28,[1]ISO辞書!A:B,2,FALSE))</f>
        <v/>
      </c>
      <c r="M28" s="3" t="str">
        <f t="shared" si="0"/>
        <v/>
      </c>
      <c r="P28" s="1"/>
    </row>
    <row r="29" spans="1:19">
      <c r="A29" s="2" t="str">
        <f>IF(C29="","",VLOOKUP(C29,[1]ISO辞書!A:C,2,FALSE))</f>
        <v/>
      </c>
      <c r="B29" s="3" t="str">
        <f>IF(C29="","",VLOOKUP(C29,[1]ISO辞書!A:C,3,FALSE))</f>
        <v/>
      </c>
      <c r="J29" s="2" t="str">
        <f>IF(G29="","",VLOOKUP(G29,[1]ISO辞書!A:B,2,FALSE))</f>
        <v/>
      </c>
      <c r="K29" s="2" t="str">
        <f>IF(H29="","",VLOOKUP(H29,[1]ISO辞書!A:B,2,FALSE))</f>
        <v/>
      </c>
      <c r="L29" s="2" t="str">
        <f>IF(I29="","",VLOOKUP(I29,[1]ISO辞書!A:B,2,FALSE))</f>
        <v/>
      </c>
      <c r="M29" s="3" t="str">
        <f t="shared" si="0"/>
        <v/>
      </c>
    </row>
    <row r="30" spans="1:19">
      <c r="A30" s="2" t="str">
        <f>IF(C30="","",VLOOKUP(C30,[1]ISO辞書!A:C,2,FALSE))</f>
        <v/>
      </c>
      <c r="B30" s="3" t="str">
        <f>IF(C30="","",VLOOKUP(C30,[1]ISO辞書!A:C,3,FALSE))</f>
        <v/>
      </c>
      <c r="J30" s="2" t="str">
        <f>IF(G30="","",VLOOKUP(G30,[1]ISO辞書!A:B,2,FALSE))</f>
        <v/>
      </c>
      <c r="K30" s="2" t="str">
        <f>IF(H30="","",VLOOKUP(H30,[1]ISO辞書!A:B,2,FALSE))</f>
        <v/>
      </c>
      <c r="L30" s="2" t="str">
        <f>IF(I30="","",VLOOKUP(I30,[1]ISO辞書!A:B,2,FALSE))</f>
        <v/>
      </c>
      <c r="M30" s="3" t="str">
        <f t="shared" si="0"/>
        <v/>
      </c>
    </row>
    <row r="31" spans="1:19">
      <c r="A31" s="2" t="str">
        <f>IF(C31="","",VLOOKUP(C31,[1]ISO辞書!A:C,2,FALSE))</f>
        <v/>
      </c>
      <c r="B31" s="3" t="str">
        <f>IF(C31="","",VLOOKUP(C31,[1]ISO辞書!A:C,3,FALSE))</f>
        <v/>
      </c>
      <c r="J31" s="2" t="str">
        <f>IF(G31="","",VLOOKUP(G31,[1]ISO辞書!A:B,2,FALSE))</f>
        <v/>
      </c>
      <c r="K31" s="2" t="str">
        <f>IF(H31="","",VLOOKUP(H31,[1]ISO辞書!A:B,2,FALSE))</f>
        <v/>
      </c>
      <c r="L31" s="2" t="str">
        <f>IF(I31="","",VLOOKUP(I31,[1]ISO辞書!A:B,2,FALSE))</f>
        <v/>
      </c>
      <c r="M31" s="3" t="str">
        <f t="shared" si="0"/>
        <v/>
      </c>
    </row>
    <row r="32" spans="1:19">
      <c r="A32" s="2" t="str">
        <f>IF(C32="","",VLOOKUP(C32,[1]ISO辞書!A:C,2,FALSE))</f>
        <v/>
      </c>
      <c r="B32" s="3" t="str">
        <f>IF(C32="","",VLOOKUP(C32,[1]ISO辞書!A:C,3,FALSE))</f>
        <v/>
      </c>
      <c r="J32" s="2" t="str">
        <f>IF(G32="","",VLOOKUP(G32,[1]ISO辞書!A:B,2,FALSE))</f>
        <v/>
      </c>
      <c r="K32" s="2" t="str">
        <f>IF(H32="","",VLOOKUP(H32,[1]ISO辞書!A:B,2,FALSE))</f>
        <v/>
      </c>
      <c r="L32" s="2" t="str">
        <f>IF(I32="","",VLOOKUP(I32,[1]ISO辞書!A:B,2,FALSE))</f>
        <v/>
      </c>
      <c r="M32" s="3" t="str">
        <f t="shared" si="0"/>
        <v/>
      </c>
    </row>
    <row r="33" spans="1:13">
      <c r="A33" s="2" t="str">
        <f>IF(C33="","",VLOOKUP(C33,[1]ISO辞書!A:C,2,FALSE))</f>
        <v/>
      </c>
      <c r="B33" s="3" t="str">
        <f>IF(C33="","",VLOOKUP(C33,[1]ISO辞書!A:C,3,FALSE))</f>
        <v/>
      </c>
      <c r="J33" s="2" t="str">
        <f>IF(G33="","",VLOOKUP(G33,[1]ISO辞書!A:B,2,FALSE))</f>
        <v/>
      </c>
      <c r="K33" s="2" t="str">
        <f>IF(H33="","",VLOOKUP(H33,[1]ISO辞書!A:B,2,FALSE))</f>
        <v/>
      </c>
      <c r="L33" s="2" t="str">
        <f>IF(I33="","",VLOOKUP(I33,[1]ISO辞書!A:B,2,FALSE))</f>
        <v/>
      </c>
      <c r="M33" s="3" t="str">
        <f t="shared" si="0"/>
        <v/>
      </c>
    </row>
    <row r="34" spans="1:13">
      <c r="A34" s="2" t="str">
        <f>IF(C34="","",VLOOKUP(C34,[1]ISO辞書!A:C,2,FALSE))</f>
        <v/>
      </c>
      <c r="B34" s="3" t="str">
        <f>IF(C34="","",VLOOKUP(C34,[1]ISO辞書!A:C,3,FALSE))</f>
        <v/>
      </c>
      <c r="J34" s="2" t="str">
        <f>IF(G34="","",VLOOKUP(G34,[1]ISO辞書!A:B,2,FALSE))</f>
        <v/>
      </c>
      <c r="K34" s="2" t="str">
        <f>IF(H34="","",VLOOKUP(H34,[1]ISO辞書!A:B,2,FALSE))</f>
        <v/>
      </c>
      <c r="L34" s="2" t="str">
        <f>IF(I34="","",VLOOKUP(I34,[1]ISO辞書!A:B,2,FALSE))</f>
        <v/>
      </c>
      <c r="M34" s="3" t="str">
        <f t="shared" si="0"/>
        <v/>
      </c>
    </row>
    <row r="35" spans="1:13">
      <c r="A35" s="2" t="str">
        <f>IF(C35="","",VLOOKUP(C35,[1]ISO辞書!A:C,2,FALSE))</f>
        <v/>
      </c>
      <c r="B35" s="3" t="str">
        <f>IF(C35="","",VLOOKUP(C35,[1]ISO辞書!A:C,3,FALSE))</f>
        <v/>
      </c>
      <c r="J35" s="2" t="str">
        <f>IF(G35="","",VLOOKUP(G35,[1]ISO辞書!A:B,2,FALSE))</f>
        <v/>
      </c>
      <c r="K35" s="2" t="str">
        <f>IF(H35="","",VLOOKUP(H35,[1]ISO辞書!A:B,2,FALSE))</f>
        <v/>
      </c>
      <c r="L35" s="2" t="str">
        <f>IF(I35="","",VLOOKUP(I35,[1]ISO辞書!A:B,2,FALSE))</f>
        <v/>
      </c>
      <c r="M35" s="3" t="str">
        <f t="shared" si="0"/>
        <v/>
      </c>
    </row>
    <row r="36" spans="1:13">
      <c r="A36" s="2" t="str">
        <f>IF(C36="","",VLOOKUP(C36,[1]ISO辞書!A:C,2,FALSE))</f>
        <v/>
      </c>
      <c r="B36" s="3" t="str">
        <f>IF(C36="","",VLOOKUP(C36,[1]ISO辞書!A:C,3,FALSE))</f>
        <v/>
      </c>
      <c r="J36" s="2" t="str">
        <f>IF(G36="","",VLOOKUP(G36,[1]ISO辞書!A:B,2,FALSE))</f>
        <v/>
      </c>
      <c r="K36" s="2" t="str">
        <f>IF(H36="","",VLOOKUP(H36,[1]ISO辞書!A:B,2,FALSE))</f>
        <v/>
      </c>
      <c r="L36" s="2" t="str">
        <f>IF(I36="","",VLOOKUP(I36,[1]ISO辞書!A:B,2,FALSE))</f>
        <v/>
      </c>
      <c r="M36" s="3" t="str">
        <f t="shared" si="0"/>
        <v/>
      </c>
    </row>
    <row r="37" spans="1:13">
      <c r="A37" s="2" t="str">
        <f>IF(C37="","",VLOOKUP(C37,[1]ISO辞書!A:C,2,FALSE))</f>
        <v/>
      </c>
      <c r="B37" s="3" t="str">
        <f>IF(C37="","",VLOOKUP(C37,[1]ISO辞書!A:C,3,FALSE))</f>
        <v/>
      </c>
      <c r="J37" s="2" t="str">
        <f>IF(G37="","",VLOOKUP(G37,[1]ISO辞書!A:B,2,FALSE))</f>
        <v/>
      </c>
      <c r="K37" s="2" t="str">
        <f>IF(H37="","",VLOOKUP(H37,[1]ISO辞書!A:B,2,FALSE))</f>
        <v/>
      </c>
      <c r="L37" s="2" t="str">
        <f>IF(I37="","",VLOOKUP(I37,[1]ISO辞書!A:B,2,FALSE))</f>
        <v/>
      </c>
      <c r="M37" s="3" t="str">
        <f t="shared" si="0"/>
        <v/>
      </c>
    </row>
    <row r="38" spans="1:13">
      <c r="A38" s="2" t="str">
        <f>IF(C38="","",VLOOKUP(C38,[1]ISO辞書!A:C,2,FALSE))</f>
        <v/>
      </c>
      <c r="B38" s="3" t="str">
        <f>IF(C38="","",VLOOKUP(C38,[1]ISO辞書!A:C,3,FALSE))</f>
        <v/>
      </c>
      <c r="J38" s="2" t="str">
        <f>IF(G38="","",VLOOKUP(G38,[1]ISO辞書!A:B,2,FALSE))</f>
        <v/>
      </c>
      <c r="K38" s="2" t="str">
        <f>IF(H38="","",VLOOKUP(H38,[1]ISO辞書!A:B,2,FALSE))</f>
        <v/>
      </c>
      <c r="L38" s="2" t="str">
        <f>IF(I38="","",VLOOKUP(I38,[1]ISO辞書!A:B,2,FALSE))</f>
        <v/>
      </c>
      <c r="M38" s="3" t="str">
        <f t="shared" si="0"/>
        <v/>
      </c>
    </row>
    <row r="39" spans="1:13">
      <c r="A39" s="2" t="str">
        <f>IF(C39="","",VLOOKUP(C39,[1]ISO辞書!A:C,2,FALSE))</f>
        <v/>
      </c>
      <c r="B39" s="3" t="str">
        <f>IF(C39="","",VLOOKUP(C39,[1]ISO辞書!A:C,3,FALSE))</f>
        <v/>
      </c>
      <c r="J39" s="2" t="str">
        <f>IF(G39="","",VLOOKUP(G39,[1]ISO辞書!A:B,2,FALSE))</f>
        <v/>
      </c>
      <c r="K39" s="2" t="str">
        <f>IF(H39="","",VLOOKUP(H39,[1]ISO辞書!A:B,2,FALSE))</f>
        <v/>
      </c>
      <c r="L39" s="2" t="str">
        <f>IF(I39="","",VLOOKUP(I39,[1]ISO辞書!A:B,2,FALSE))</f>
        <v/>
      </c>
      <c r="M39" s="3" t="str">
        <f t="shared" si="0"/>
        <v/>
      </c>
    </row>
    <row r="40" spans="1:13">
      <c r="A40" s="2" t="str">
        <f>IF(C40="","",VLOOKUP(C40,[1]ISO辞書!A:C,2,FALSE))</f>
        <v/>
      </c>
      <c r="B40" s="3" t="str">
        <f>IF(C40="","",VLOOKUP(C40,[1]ISO辞書!A:C,3,FALSE))</f>
        <v/>
      </c>
      <c r="J40" s="2" t="str">
        <f>IF(G40="","",VLOOKUP(G40,[1]ISO辞書!A:B,2,FALSE))</f>
        <v/>
      </c>
      <c r="K40" s="2" t="str">
        <f>IF(H40="","",VLOOKUP(H40,[1]ISO辞書!A:B,2,FALSE))</f>
        <v/>
      </c>
      <c r="L40" s="2" t="str">
        <f>IF(I40="","",VLOOKUP(I40,[1]ISO辞書!A:B,2,FALSE))</f>
        <v/>
      </c>
      <c r="M40" s="3" t="str">
        <f t="shared" si="0"/>
        <v/>
      </c>
    </row>
    <row r="41" spans="1:13">
      <c r="A41" s="2" t="str">
        <f>IF(C41="","",VLOOKUP(C41,[1]ISO辞書!A:C,2,FALSE))</f>
        <v/>
      </c>
      <c r="B41" s="3" t="str">
        <f>IF(C41="","",VLOOKUP(C41,[1]ISO辞書!A:C,3,FALSE))</f>
        <v/>
      </c>
      <c r="J41" s="2" t="str">
        <f>IF(G41="","",VLOOKUP(G41,[1]ISO辞書!A:B,2,FALSE))</f>
        <v/>
      </c>
      <c r="K41" s="2" t="str">
        <f>IF(H41="","",VLOOKUP(H41,[1]ISO辞書!A:B,2,FALSE))</f>
        <v/>
      </c>
      <c r="L41" s="2" t="str">
        <f>IF(I41="","",VLOOKUP(I41,[1]ISO辞書!A:B,2,FALSE))</f>
        <v/>
      </c>
      <c r="M41" s="3" t="str">
        <f t="shared" si="0"/>
        <v/>
      </c>
    </row>
    <row r="42" spans="1:13">
      <c r="A42" s="2" t="str">
        <f>IF(C42="","",VLOOKUP(C42,[1]ISO辞書!A:C,2,FALSE))</f>
        <v/>
      </c>
      <c r="B42" s="3" t="str">
        <f>IF(C42="","",VLOOKUP(C42,[1]ISO辞書!A:C,3,FALSE))</f>
        <v/>
      </c>
      <c r="J42" s="2" t="str">
        <f>IF(G42="","",VLOOKUP(G42,[1]ISO辞書!A:B,2,FALSE))</f>
        <v/>
      </c>
      <c r="K42" s="2" t="str">
        <f>IF(H42="","",VLOOKUP(H42,[1]ISO辞書!A:B,2,FALSE))</f>
        <v/>
      </c>
      <c r="L42" s="2" t="str">
        <f>IF(I42="","",VLOOKUP(I42,[1]ISO辞書!A:B,2,FALSE))</f>
        <v/>
      </c>
      <c r="M42" s="3" t="str">
        <f t="shared" si="0"/>
        <v/>
      </c>
    </row>
    <row r="43" spans="1:13">
      <c r="A43" s="2" t="str">
        <f>IF(C43="","",VLOOKUP(C43,[1]ISO辞書!A:C,2,FALSE))</f>
        <v/>
      </c>
      <c r="B43" s="3" t="str">
        <f>IF(C43="","",VLOOKUP(C43,[1]ISO辞書!A:C,3,FALSE))</f>
        <v/>
      </c>
      <c r="J43" s="2" t="str">
        <f>IF(G43="","",VLOOKUP(G43,[1]ISO辞書!A:B,2,FALSE))</f>
        <v/>
      </c>
      <c r="K43" s="2" t="str">
        <f>IF(H43="","",VLOOKUP(H43,[1]ISO辞書!A:B,2,FALSE))</f>
        <v/>
      </c>
      <c r="L43" s="2" t="str">
        <f>IF(I43="","",VLOOKUP(I43,[1]ISO辞書!A:B,2,FALSE))</f>
        <v/>
      </c>
      <c r="M43" s="3" t="str">
        <f t="shared" si="0"/>
        <v/>
      </c>
    </row>
    <row r="44" spans="1:13">
      <c r="A44" s="2" t="str">
        <f>IF(C44="","",VLOOKUP(C44,[1]ISO辞書!A:C,2,FALSE))</f>
        <v/>
      </c>
      <c r="B44" s="3" t="str">
        <f>IF(C44="","",VLOOKUP(C44,[1]ISO辞書!A:C,3,FALSE))</f>
        <v/>
      </c>
      <c r="J44" s="2" t="str">
        <f>IF(G44="","",VLOOKUP(G44,[1]ISO辞書!A:B,2,FALSE))</f>
        <v/>
      </c>
      <c r="K44" s="2" t="str">
        <f>IF(H44="","",VLOOKUP(H44,[1]ISO辞書!A:B,2,FALSE))</f>
        <v/>
      </c>
      <c r="L44" s="2" t="str">
        <f>IF(I44="","",VLOOKUP(I44,[1]ISO辞書!A:B,2,FALSE))</f>
        <v/>
      </c>
      <c r="M44" s="3" t="str">
        <f t="shared" si="0"/>
        <v/>
      </c>
    </row>
    <row r="45" spans="1:13">
      <c r="A45" s="2" t="str">
        <f>IF(C45="","",VLOOKUP(C45,[1]ISO辞書!A:C,2,FALSE))</f>
        <v/>
      </c>
      <c r="B45" s="3" t="str">
        <f>IF(C45="","",VLOOKUP(C45,[1]ISO辞書!A:C,3,FALSE))</f>
        <v/>
      </c>
      <c r="J45" s="2" t="str">
        <f>IF(G45="","",VLOOKUP(G45,[1]ISO辞書!A:B,2,FALSE))</f>
        <v/>
      </c>
      <c r="K45" s="2" t="str">
        <f>IF(H45="","",VLOOKUP(H45,[1]ISO辞書!A:B,2,FALSE))</f>
        <v/>
      </c>
      <c r="L45" s="2" t="str">
        <f>IF(I45="","",VLOOKUP(I45,[1]ISO辞書!A:B,2,FALSE))</f>
        <v/>
      </c>
      <c r="M45" s="3" t="str">
        <f t="shared" si="0"/>
        <v/>
      </c>
    </row>
    <row r="46" spans="1:13">
      <c r="A46" s="2" t="str">
        <f>IF(C46="","",VLOOKUP(C46,[1]ISO辞書!A:C,2,FALSE))</f>
        <v/>
      </c>
      <c r="B46" s="3" t="str">
        <f>IF(C46="","",VLOOKUP(C46,[1]ISO辞書!A:C,3,FALSE))</f>
        <v/>
      </c>
      <c r="J46" s="2" t="str">
        <f>IF(G46="","",VLOOKUP(G46,[1]ISO辞書!A:B,2,FALSE))</f>
        <v/>
      </c>
      <c r="K46" s="2" t="str">
        <f>IF(H46="","",VLOOKUP(H46,[1]ISO辞書!A:B,2,FALSE))</f>
        <v/>
      </c>
      <c r="L46" s="2" t="str">
        <f>IF(I46="","",VLOOKUP(I46,[1]ISO辞書!A:B,2,FALSE))</f>
        <v/>
      </c>
      <c r="M46" s="3" t="str">
        <f t="shared" si="0"/>
        <v/>
      </c>
    </row>
    <row r="47" spans="1:13">
      <c r="A47" s="2" t="str">
        <f>IF(C47="","",VLOOKUP(C47,[1]ISO辞書!A:C,2,FALSE))</f>
        <v/>
      </c>
      <c r="B47" s="3" t="str">
        <f>IF(C47="","",VLOOKUP(C47,[1]ISO辞書!A:C,3,FALSE))</f>
        <v/>
      </c>
      <c r="J47" s="2" t="str">
        <f>IF(G47="","",VLOOKUP(G47,[1]ISO辞書!A:B,2,FALSE))</f>
        <v/>
      </c>
      <c r="K47" s="2" t="str">
        <f>IF(H47="","",VLOOKUP(H47,[1]ISO辞書!A:B,2,FALSE))</f>
        <v/>
      </c>
      <c r="L47" s="2" t="str">
        <f>IF(I47="","",VLOOKUP(I47,[1]ISO辞書!A:B,2,FALSE))</f>
        <v/>
      </c>
      <c r="M47" s="3" t="str">
        <f t="shared" si="0"/>
        <v/>
      </c>
    </row>
    <row r="48" spans="1:13">
      <c r="A48" s="2" t="str">
        <f>IF(C48="","",VLOOKUP(C48,[1]ISO辞書!A:C,2,FALSE))</f>
        <v/>
      </c>
      <c r="B48" s="3" t="str">
        <f>IF(C48="","",VLOOKUP(C48,[1]ISO辞書!A:C,3,FALSE))</f>
        <v/>
      </c>
      <c r="J48" s="2" t="str">
        <f>IF(G48="","",VLOOKUP(G48,[1]ISO辞書!A:B,2,FALSE))</f>
        <v/>
      </c>
      <c r="K48" s="2" t="str">
        <f>IF(H48="","",VLOOKUP(H48,[1]ISO辞書!A:B,2,FALSE))</f>
        <v/>
      </c>
      <c r="L48" s="2" t="str">
        <f>IF(I48="","",VLOOKUP(I48,[1]ISO辞書!A:B,2,FALSE))</f>
        <v/>
      </c>
      <c r="M48" s="3" t="str">
        <f t="shared" si="0"/>
        <v/>
      </c>
    </row>
    <row r="49" spans="1:13">
      <c r="A49" s="2" t="str">
        <f>IF(C49="","",VLOOKUP(C49,[1]ISO辞書!A:C,2,FALSE))</f>
        <v/>
      </c>
      <c r="B49" s="3" t="str">
        <f>IF(C49="","",VLOOKUP(C49,[1]ISO辞書!A:C,3,FALSE))</f>
        <v/>
      </c>
      <c r="J49" s="2" t="str">
        <f>IF(G49="","",VLOOKUP(G49,[1]ISO辞書!A:B,2,FALSE))</f>
        <v/>
      </c>
      <c r="K49" s="2" t="str">
        <f>IF(H49="","",VLOOKUP(H49,[1]ISO辞書!A:B,2,FALSE))</f>
        <v/>
      </c>
      <c r="L49" s="2" t="str">
        <f>IF(I49="","",VLOOKUP(I49,[1]ISO辞書!A:B,2,FALSE))</f>
        <v/>
      </c>
      <c r="M49" s="3" t="str">
        <f t="shared" si="0"/>
        <v/>
      </c>
    </row>
    <row r="50" spans="1:13">
      <c r="A50" s="2" t="str">
        <f>IF(C50="","",VLOOKUP(C50,[1]ISO辞書!A:C,2,FALSE))</f>
        <v/>
      </c>
      <c r="B50" s="3" t="str">
        <f>IF(C50="","",VLOOKUP(C50,[1]ISO辞書!A:C,3,FALSE))</f>
        <v/>
      </c>
      <c r="J50" s="2" t="str">
        <f>IF(G50="","",VLOOKUP(G50,[1]ISO辞書!A:B,2,FALSE))</f>
        <v/>
      </c>
      <c r="K50" s="2" t="str">
        <f>IF(H50="","",VLOOKUP(H50,[1]ISO辞書!A:B,2,FALSE))</f>
        <v/>
      </c>
      <c r="L50" s="2" t="str">
        <f>IF(I50="","",VLOOKUP(I50,[1]ISO辞書!A:B,2,FALSE))</f>
        <v/>
      </c>
      <c r="M50" s="3" t="str">
        <f t="shared" si="0"/>
        <v/>
      </c>
    </row>
    <row r="51" spans="1:13">
      <c r="A51" s="2" t="str">
        <f>IF(C51="","",VLOOKUP(C51,[1]ISO辞書!A:C,2,FALSE))</f>
        <v/>
      </c>
      <c r="B51" s="3" t="str">
        <f>IF(C51="","",VLOOKUP(C51,[1]ISO辞書!A:C,3,FALSE))</f>
        <v/>
      </c>
      <c r="J51" s="2" t="str">
        <f>IF(G51="","",VLOOKUP(G51,[1]ISO辞書!A:B,2,FALSE))</f>
        <v/>
      </c>
      <c r="K51" s="2" t="str">
        <f>IF(H51="","",VLOOKUP(H51,[1]ISO辞書!A:B,2,FALSE))</f>
        <v/>
      </c>
      <c r="L51" s="2" t="str">
        <f>IF(I51="","",VLOOKUP(I51,[1]ISO辞書!A:B,2,FALSE))</f>
        <v/>
      </c>
      <c r="M51" s="3" t="str">
        <f t="shared" si="0"/>
        <v/>
      </c>
    </row>
    <row r="52" spans="1:13">
      <c r="A52" s="2" t="str">
        <f>IF(C52="","",VLOOKUP(C52,[1]ISO辞書!A:C,2,FALSE))</f>
        <v/>
      </c>
      <c r="B52" s="3" t="str">
        <f>IF(C52="","",VLOOKUP(C52,[1]ISO辞書!A:C,3,FALSE))</f>
        <v/>
      </c>
      <c r="J52" s="2" t="str">
        <f>IF(G52="","",VLOOKUP(G52,[1]ISO辞書!A:B,2,FALSE))</f>
        <v/>
      </c>
      <c r="K52" s="2" t="str">
        <f>IF(H52="","",VLOOKUP(H52,[1]ISO辞書!A:B,2,FALSE))</f>
        <v/>
      </c>
      <c r="L52" s="2" t="str">
        <f>IF(I52="","",VLOOKUP(I52,[1]ISO辞書!A:B,2,FALSE))</f>
        <v/>
      </c>
      <c r="M52" s="3" t="str">
        <f t="shared" si="0"/>
        <v/>
      </c>
    </row>
    <row r="53" spans="1:13">
      <c r="A53" s="2" t="str">
        <f>IF(C53="","",VLOOKUP(C53,[1]ISO辞書!A:C,2,FALSE))</f>
        <v/>
      </c>
      <c r="B53" s="3" t="str">
        <f>IF(C53="","",VLOOKUP(C53,[1]ISO辞書!A:C,3,FALSE))</f>
        <v/>
      </c>
      <c r="J53" s="2" t="str">
        <f>IF(G53="","",VLOOKUP(G53,[1]ISO辞書!A:B,2,FALSE))</f>
        <v/>
      </c>
      <c r="K53" s="2" t="str">
        <f>IF(H53="","",VLOOKUP(H53,[1]ISO辞書!A:B,2,FALSE))</f>
        <v/>
      </c>
      <c r="L53" s="2" t="str">
        <f>IF(I53="","",VLOOKUP(I53,[1]ISO辞書!A:B,2,FALSE))</f>
        <v/>
      </c>
      <c r="M53" s="3" t="str">
        <f t="shared" si="0"/>
        <v/>
      </c>
    </row>
    <row r="54" spans="1:13">
      <c r="A54" s="2" t="str">
        <f>IF(C54="","",VLOOKUP(C54,[1]ISO辞書!A:C,2,FALSE))</f>
        <v/>
      </c>
      <c r="B54" s="3" t="str">
        <f>IF(C54="","",VLOOKUP(C54,[1]ISO辞書!A:C,3,FALSE))</f>
        <v/>
      </c>
      <c r="J54" s="2" t="str">
        <f>IF(G54="","",VLOOKUP(G54,[1]ISO辞書!A:B,2,FALSE))</f>
        <v/>
      </c>
      <c r="K54" s="2" t="str">
        <f>IF(H54="","",VLOOKUP(H54,[1]ISO辞書!A:B,2,FALSE))</f>
        <v/>
      </c>
      <c r="L54" s="2" t="str">
        <f>IF(I54="","",VLOOKUP(I54,[1]ISO辞書!A:B,2,FALSE))</f>
        <v/>
      </c>
      <c r="M54" s="3" t="str">
        <f t="shared" si="0"/>
        <v/>
      </c>
    </row>
    <row r="55" spans="1:13">
      <c r="A55" s="2" t="str">
        <f>IF(C55="","",VLOOKUP(C55,[1]ISO辞書!A:C,2,FALSE))</f>
        <v/>
      </c>
      <c r="B55" s="3" t="str">
        <f>IF(C55="","",VLOOKUP(C55,[1]ISO辞書!A:C,3,FALSE))</f>
        <v/>
      </c>
      <c r="J55" s="2" t="str">
        <f>IF(G55="","",VLOOKUP(G55,[1]ISO辞書!A:B,2,FALSE))</f>
        <v/>
      </c>
      <c r="K55" s="2" t="str">
        <f>IF(H55="","",VLOOKUP(H55,[1]ISO辞書!A:B,2,FALSE))</f>
        <v/>
      </c>
      <c r="L55" s="2" t="str">
        <f>IF(I55="","",VLOOKUP(I55,[1]ISO辞書!A:B,2,FALSE))</f>
        <v/>
      </c>
      <c r="M55" s="3" t="str">
        <f t="shared" si="0"/>
        <v/>
      </c>
    </row>
    <row r="56" spans="1:13">
      <c r="A56" s="2" t="str">
        <f>IF(C56="","",VLOOKUP(C56,[1]ISO辞書!A:C,2,FALSE))</f>
        <v/>
      </c>
      <c r="B56" s="3" t="str">
        <f>IF(C56="","",VLOOKUP(C56,[1]ISO辞書!A:C,3,FALSE))</f>
        <v/>
      </c>
      <c r="J56" s="2" t="str">
        <f>IF(G56="","",VLOOKUP(G56,[1]ISO辞書!A:B,2,FALSE))</f>
        <v/>
      </c>
      <c r="K56" s="2" t="str">
        <f>IF(H56="","",VLOOKUP(H56,[1]ISO辞書!A:B,2,FALSE))</f>
        <v/>
      </c>
      <c r="L56" s="2" t="str">
        <f>IF(I56="","",VLOOKUP(I56,[1]ISO辞書!A:B,2,FALSE))</f>
        <v/>
      </c>
      <c r="M56" s="3" t="str">
        <f t="shared" si="0"/>
        <v/>
      </c>
    </row>
    <row r="57" spans="1:13">
      <c r="A57" s="2" t="str">
        <f>IF(C57="","",VLOOKUP(C57,[1]ISO辞書!A:C,2,FALSE))</f>
        <v/>
      </c>
      <c r="B57" s="3" t="str">
        <f>IF(C57="","",VLOOKUP(C57,[1]ISO辞書!A:C,3,FALSE))</f>
        <v/>
      </c>
      <c r="J57" s="2" t="str">
        <f>IF(G57="","",VLOOKUP(G57,[1]ISO辞書!A:B,2,FALSE))</f>
        <v/>
      </c>
      <c r="K57" s="2" t="str">
        <f>IF(H57="","",VLOOKUP(H57,[1]ISO辞書!A:B,2,FALSE))</f>
        <v/>
      </c>
      <c r="L57" s="2" t="str">
        <f>IF(I57="","",VLOOKUP(I57,[1]ISO辞書!A:B,2,FALSE))</f>
        <v/>
      </c>
      <c r="M57" s="3" t="str">
        <f t="shared" si="0"/>
        <v/>
      </c>
    </row>
    <row r="58" spans="1:13">
      <c r="A58" s="2" t="str">
        <f>IF(C58="","",VLOOKUP(C58,[1]ISO辞書!A:C,2,FALSE))</f>
        <v/>
      </c>
      <c r="B58" s="3" t="str">
        <f>IF(C58="","",VLOOKUP(C58,[1]ISO辞書!A:C,3,FALSE))</f>
        <v/>
      </c>
      <c r="J58" s="2" t="str">
        <f>IF(G58="","",VLOOKUP(G58,[1]ISO辞書!A:B,2,FALSE))</f>
        <v/>
      </c>
      <c r="K58" s="2" t="str">
        <f>IF(H58="","",VLOOKUP(H58,[1]ISO辞書!A:B,2,FALSE))</f>
        <v/>
      </c>
      <c r="L58" s="2" t="str">
        <f>IF(I58="","",VLOOKUP(I58,[1]ISO辞書!A:B,2,FALSE))</f>
        <v/>
      </c>
      <c r="M58" s="3" t="str">
        <f t="shared" si="0"/>
        <v/>
      </c>
    </row>
    <row r="59" spans="1:13">
      <c r="A59" s="2" t="str">
        <f>IF(C59="","",VLOOKUP(C59,[1]ISO辞書!A:C,2,FALSE))</f>
        <v/>
      </c>
      <c r="J59" s="2" t="str">
        <f>IF(G59="","",VLOOKUP(G59,[1]ISO辞書!A:B,2,FALSE))</f>
        <v/>
      </c>
      <c r="K59" s="2" t="str">
        <f>IF(H59="","",VLOOKUP(H59,[1]ISO辞書!A:B,2,FALSE))</f>
        <v/>
      </c>
      <c r="L59" s="2" t="str">
        <f>IF(I59="","",VLOOKUP(I59,[1]ISO辞書!A:B,2,FALSE))</f>
        <v/>
      </c>
      <c r="M59" s="3" t="str">
        <f t="shared" si="0"/>
        <v/>
      </c>
    </row>
    <row r="60" spans="1:13">
      <c r="A60" s="2" t="str">
        <f>IF(C60="","",VLOOKUP(C60,[1]ISO辞書!A:C,2,FALSE))</f>
        <v/>
      </c>
      <c r="J60" s="2" t="str">
        <f>IF(G60="","",VLOOKUP(G60,[1]ISO辞書!A:B,2,FALSE))</f>
        <v/>
      </c>
      <c r="K60" s="2" t="str">
        <f>IF(H60="","",VLOOKUP(H60,[1]ISO辞書!A:B,2,FALSE))</f>
        <v/>
      </c>
      <c r="L60" s="2" t="str">
        <f>IF(I60="","",VLOOKUP(I60,[1]ISO辞書!A:B,2,FALSE))</f>
        <v/>
      </c>
      <c r="M60" s="3" t="str">
        <f t="shared" si="0"/>
        <v/>
      </c>
    </row>
    <row r="61" spans="1:13">
      <c r="A61" s="2" t="str">
        <f>IF(C61="","",VLOOKUP(C61,[1]ISO辞書!A:C,2,FALSE))</f>
        <v/>
      </c>
      <c r="J61" s="2" t="str">
        <f>IF(G61="","",VLOOKUP(G61,[1]ISO辞書!A:B,2,FALSE))</f>
        <v/>
      </c>
      <c r="K61" s="2" t="str">
        <f>IF(H61="","",VLOOKUP(H61,[1]ISO辞書!A:B,2,FALSE))</f>
        <v/>
      </c>
      <c r="L61" s="2" t="str">
        <f>IF(I61="","",VLOOKUP(I61,[1]ISO辞書!A:B,2,FALSE))</f>
        <v/>
      </c>
      <c r="M61" s="3" t="str">
        <f t="shared" si="0"/>
        <v/>
      </c>
    </row>
    <row r="62" spans="1:13">
      <c r="A62" s="2" t="str">
        <f>IF(C62="","",VLOOKUP(C62,[1]ISO辞書!A:C,2,FALSE))</f>
        <v/>
      </c>
      <c r="J62" s="2" t="str">
        <f>IF(G62="","",VLOOKUP(G62,[1]ISO辞書!A:B,2,FALSE))</f>
        <v/>
      </c>
      <c r="K62" s="2" t="str">
        <f>IF(H62="","",VLOOKUP(H62,[1]ISO辞書!A:B,2,FALSE))</f>
        <v/>
      </c>
      <c r="L62" s="2" t="str">
        <f>IF(I62="","",VLOOKUP(I62,[1]ISO辞書!A:B,2,FALSE))</f>
        <v/>
      </c>
      <c r="M62" s="3" t="str">
        <f t="shared" si="0"/>
        <v/>
      </c>
    </row>
    <row r="63" spans="1:13">
      <c r="J63" s="2" t="str">
        <f>IF(G63="","",VLOOKUP(G63,[1]ISO辞書!A:B,2,FALSE))</f>
        <v/>
      </c>
      <c r="K63" s="2" t="str">
        <f>IF(H63="","",VLOOKUP(H63,[1]ISO辞書!A:B,2,FALSE))</f>
        <v/>
      </c>
      <c r="L63" s="2" t="str">
        <f>IF(I63="","",VLOOKUP(I63,[1]ISO辞書!A:B,2,FALSE))</f>
        <v/>
      </c>
      <c r="M63" s="3" t="str">
        <f t="shared" si="0"/>
        <v/>
      </c>
    </row>
    <row r="64" spans="1:13">
      <c r="J64" s="2" t="str">
        <f>IF(G64="","",VLOOKUP(G64,[1]ISO辞書!A:B,2,FALSE))</f>
        <v/>
      </c>
      <c r="K64" s="2" t="str">
        <f>IF(H64="","",VLOOKUP(H64,[1]ISO辞書!A:B,2,FALSE))</f>
        <v/>
      </c>
      <c r="L64" s="2" t="str">
        <f>IF(I64="","",VLOOKUP(I64,[1]ISO辞書!A:B,2,FALSE))</f>
        <v/>
      </c>
      <c r="M64" s="3" t="str">
        <f t="shared" si="0"/>
        <v/>
      </c>
    </row>
    <row r="65" spans="10:13">
      <c r="J65" s="2" t="str">
        <f>IF(G65="","",VLOOKUP(G65,[1]ISO辞書!A:B,2,FALSE))</f>
        <v/>
      </c>
      <c r="K65" s="2" t="str">
        <f>IF(H65="","",VLOOKUP(H65,[1]ISO辞書!A:B,2,FALSE))</f>
        <v/>
      </c>
      <c r="L65" s="2" t="str">
        <f>IF(I65="","",VLOOKUP(I65,[1]ISO辞書!A:B,2,FALSE))</f>
        <v/>
      </c>
      <c r="M65" s="3" t="str">
        <f t="shared" si="0"/>
        <v/>
      </c>
    </row>
    <row r="66" spans="10:13">
      <c r="J66" s="2" t="str">
        <f>IF(G66="","",VLOOKUP(G66,[1]ISO辞書!A:B,2,FALSE))</f>
        <v/>
      </c>
      <c r="K66" s="2" t="str">
        <f>IF(H66="","",VLOOKUP(H66,[1]ISO辞書!A:B,2,FALSE))</f>
        <v/>
      </c>
      <c r="L66" s="2" t="str">
        <f>IF(I66="","",VLOOKUP(I66,[1]ISO辞書!A:B,2,FALSE))</f>
        <v/>
      </c>
      <c r="M66" s="3" t="str">
        <f t="shared" ref="M66:M68" si="1">_xlfn.TEXTJOIN(";",TRUE,J66:L66)</f>
        <v/>
      </c>
    </row>
    <row r="67" spans="10:13">
      <c r="J67" s="2" t="str">
        <f>IF(G67="","",VLOOKUP(G67,[1]ISO辞書!A:B,2,FALSE))</f>
        <v/>
      </c>
      <c r="K67" s="2" t="str">
        <f>IF(H67="","",VLOOKUP(H67,[1]ISO辞書!A:B,2,FALSE))</f>
        <v/>
      </c>
      <c r="L67" s="2" t="str">
        <f>IF(I67="","",VLOOKUP(I67,[1]ISO辞書!A:B,2,FALSE))</f>
        <v/>
      </c>
      <c r="M67" s="3" t="str">
        <f t="shared" si="1"/>
        <v/>
      </c>
    </row>
    <row r="68" spans="10:13">
      <c r="J68" s="2" t="str">
        <f>IF(G68="","",VLOOKUP(G68,[1]ISO辞書!A:B,2,FALSE))</f>
        <v/>
      </c>
      <c r="K68" s="2" t="str">
        <f>IF(H68="","",VLOOKUP(H68,[1]ISO辞書!A:B,2,FALSE))</f>
        <v/>
      </c>
      <c r="L68" s="2" t="str">
        <f>IF(I68="","",VLOOKUP(I68,[1]ISO辞書!A:B,2,FALSE))</f>
        <v/>
      </c>
      <c r="M68" s="3" t="str">
        <f t="shared" si="1"/>
        <v/>
      </c>
    </row>
  </sheetData>
  <phoneticPr fontId="18"/>
  <hyperlinks>
    <hyperlink ref="R4" r:id="rId1" xr:uid="{10DFD976-24B0-45AB-A013-1492A4F335C0}"/>
    <hyperlink ref="R5" r:id="rId2" xr:uid="{E09F8FA6-1B82-4EF2-9C07-447D229CDBE9}"/>
    <hyperlink ref="R6" r:id="rId3" xr:uid="{3ECE3F9B-F5BC-4B68-9E78-5D200CED9A48}"/>
    <hyperlink ref="R7" r:id="rId4" xr:uid="{EA01F491-F3B4-44E0-B647-5FA72F842A12}"/>
    <hyperlink ref="R21" r:id="rId5" xr:uid="{DAB88960-3EFC-4DA1-97D8-363FF09A69A7}"/>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E7F94E9D-519F-49EF-B3EA-F00C0043148F}">
          <x14:formula1>
            <xm:f>リスト!$B$2:$B$18</xm:f>
          </x14:formula1>
          <xm:sqref>N2:N86</xm:sqref>
        </x14:dataValidation>
        <x14:dataValidation type="list" allowBlank="1" showInputMessage="1" showErrorMessage="1" xr:uid="{0BC0D9A9-2050-412E-B0EC-29E3DA783345}">
          <x14:formula1>
            <xm:f>リスト!$E$2:$E$16</xm:f>
          </x14:formula1>
          <xm:sqref>O2:O87</xm:sqref>
        </x14:dataValidation>
        <x14:dataValidation type="list" allowBlank="1" showInputMessage="1" showErrorMessage="1" xr:uid="{C45C6681-8921-4A45-B927-31B4905015CB}">
          <x14:formula1>
            <xm:f>リスト!$H$2:$H$6</xm:f>
          </x14:formula1>
          <xm:sqref>S2:S70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A7A00-11D3-46D7-B2E7-58E59A80DCDF}">
  <dimension ref="B2:H18"/>
  <sheetViews>
    <sheetView workbookViewId="0">
      <selection activeCell="H7" sqref="H7"/>
    </sheetView>
  </sheetViews>
  <sheetFormatPr defaultRowHeight="18"/>
  <sheetData>
    <row r="2" spans="2:8">
      <c r="B2" t="s">
        <v>31</v>
      </c>
      <c r="E2" t="s">
        <v>21</v>
      </c>
      <c r="H2">
        <v>5</v>
      </c>
    </row>
    <row r="3" spans="2:8">
      <c r="B3" t="s">
        <v>32</v>
      </c>
      <c r="E3" t="s">
        <v>19</v>
      </c>
      <c r="H3">
        <v>4</v>
      </c>
    </row>
    <row r="4" spans="2:8">
      <c r="B4" t="s">
        <v>33</v>
      </c>
      <c r="E4" t="s">
        <v>23</v>
      </c>
      <c r="H4">
        <v>3</v>
      </c>
    </row>
    <row r="5" spans="2:8">
      <c r="B5" t="s">
        <v>34</v>
      </c>
      <c r="E5" t="s">
        <v>48</v>
      </c>
      <c r="H5">
        <v>2</v>
      </c>
    </row>
    <row r="6" spans="2:8">
      <c r="B6" t="s">
        <v>35</v>
      </c>
      <c r="E6" t="s">
        <v>49</v>
      </c>
      <c r="H6">
        <v>1</v>
      </c>
    </row>
    <row r="7" spans="2:8">
      <c r="B7" t="s">
        <v>36</v>
      </c>
      <c r="E7" t="s">
        <v>50</v>
      </c>
    </row>
    <row r="8" spans="2:8">
      <c r="B8" t="s">
        <v>37</v>
      </c>
      <c r="E8" t="s">
        <v>22</v>
      </c>
    </row>
    <row r="9" spans="2:8">
      <c r="B9" t="s">
        <v>38</v>
      </c>
      <c r="E9" t="s">
        <v>51</v>
      </c>
    </row>
    <row r="10" spans="2:8">
      <c r="B10" t="s">
        <v>39</v>
      </c>
      <c r="E10" t="s">
        <v>20</v>
      </c>
    </row>
    <row r="11" spans="2:8">
      <c r="B11" t="s">
        <v>40</v>
      </c>
      <c r="E11" t="s">
        <v>52</v>
      </c>
    </row>
    <row r="12" spans="2:8">
      <c r="B12" t="s">
        <v>41</v>
      </c>
      <c r="E12" t="s">
        <v>24</v>
      </c>
    </row>
    <row r="13" spans="2:8">
      <c r="B13" t="s">
        <v>42</v>
      </c>
      <c r="E13" t="s">
        <v>53</v>
      </c>
    </row>
    <row r="14" spans="2:8">
      <c r="B14" t="s">
        <v>43</v>
      </c>
      <c r="E14" t="s">
        <v>54</v>
      </c>
    </row>
    <row r="15" spans="2:8">
      <c r="B15" t="s">
        <v>44</v>
      </c>
      <c r="E15" t="s">
        <v>55</v>
      </c>
    </row>
    <row r="16" spans="2:8">
      <c r="B16" t="s">
        <v>45</v>
      </c>
      <c r="E16" t="s">
        <v>25</v>
      </c>
    </row>
    <row r="17" spans="2:2">
      <c r="B17" t="s">
        <v>46</v>
      </c>
    </row>
    <row r="18" spans="2:2">
      <c r="B18" t="s">
        <v>47</v>
      </c>
    </row>
  </sheetData>
  <phoneticPr fontId="18"/>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events-入力用</vt:lpstr>
      <vt:lpstr>リスト</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2026-04-02T12:46:47Z</dcterms:modified>
</cp:coreProperties>
</file>