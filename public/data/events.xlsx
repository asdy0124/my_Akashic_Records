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A1950BAC-0D78-4D6D-89B4-991D61A92DAD}" xr6:coauthVersionLast="47" xr6:coauthVersionMax="47" xr10:uidLastSave="{00000000-0000-0000-0000-000000000000}"/>
  <bookViews>
    <workbookView xWindow="72" yWindow="60" windowWidth="21876" windowHeight="12012" xr2:uid="{17EB953A-2661-4049-9616-0D3098A3DA36}"/>
  </bookViews>
  <sheets>
    <sheet name="events-入力用" sheetId="1" r:id="rId1"/>
    <sheet name="リスト" sheetId="2" r:id="rId2"/>
  </sheets>
  <externalReferences>
    <externalReference r:id="rId3"/>
  </externalReferences>
  <definedNames>
    <definedName name="_xlnm._FilterDatabase" localSheetId="0" hidden="1">'events-入力用'!$A$1:$S$1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7" i="1" l="1"/>
  <c r="K47" i="1"/>
  <c r="J47" i="1"/>
  <c r="L46" i="1"/>
  <c r="K46" i="1"/>
  <c r="J46" i="1"/>
  <c r="L45" i="1"/>
  <c r="K45" i="1"/>
  <c r="J45" i="1"/>
  <c r="L44" i="1"/>
  <c r="K44" i="1"/>
  <c r="J44" i="1"/>
  <c r="L43" i="1"/>
  <c r="K43" i="1"/>
  <c r="J43" i="1"/>
  <c r="L42" i="1"/>
  <c r="K42" i="1"/>
  <c r="J42" i="1"/>
  <c r="L41" i="1"/>
  <c r="K41" i="1"/>
  <c r="J41" i="1"/>
  <c r="L40" i="1"/>
  <c r="K40" i="1"/>
  <c r="J40" i="1"/>
  <c r="L39" i="1"/>
  <c r="K39" i="1"/>
  <c r="J39" i="1"/>
  <c r="L38" i="1"/>
  <c r="K38" i="1"/>
  <c r="J38" i="1"/>
  <c r="L37" i="1"/>
  <c r="K37" i="1"/>
  <c r="J37" i="1"/>
  <c r="L36" i="1"/>
  <c r="K36" i="1"/>
  <c r="J36" i="1"/>
  <c r="L35" i="1"/>
  <c r="K35" i="1"/>
  <c r="J35" i="1"/>
  <c r="M35" i="1" s="1"/>
  <c r="L34" i="1"/>
  <c r="K34" i="1"/>
  <c r="J34" i="1"/>
  <c r="L33" i="1"/>
  <c r="K33" i="1"/>
  <c r="J33" i="1"/>
  <c r="L32" i="1"/>
  <c r="K32" i="1"/>
  <c r="J32" i="1"/>
  <c r="L31" i="1"/>
  <c r="K31" i="1"/>
  <c r="J31" i="1"/>
  <c r="L30" i="1"/>
  <c r="K30" i="1"/>
  <c r="J30" i="1"/>
  <c r="L29" i="1"/>
  <c r="K29" i="1"/>
  <c r="J29" i="1"/>
  <c r="L28" i="1"/>
  <c r="K28" i="1"/>
  <c r="J28" i="1"/>
  <c r="L27" i="1"/>
  <c r="K27" i="1"/>
  <c r="J27" i="1"/>
  <c r="L26" i="1"/>
  <c r="K26" i="1"/>
  <c r="J26" i="1"/>
  <c r="L25" i="1"/>
  <c r="K25" i="1"/>
  <c r="J25" i="1"/>
  <c r="L24" i="1"/>
  <c r="K24" i="1"/>
  <c r="J24" i="1"/>
  <c r="L23" i="1"/>
  <c r="K23" i="1"/>
  <c r="J23" i="1"/>
  <c r="L22" i="1"/>
  <c r="K22" i="1"/>
  <c r="J22" i="1"/>
  <c r="L12" i="1"/>
  <c r="K12" i="1"/>
  <c r="J12" i="1"/>
  <c r="L18" i="1"/>
  <c r="K18" i="1"/>
  <c r="J18" i="1"/>
  <c r="L6" i="1"/>
  <c r="K6" i="1"/>
  <c r="J6" i="1"/>
  <c r="L11" i="1"/>
  <c r="K11" i="1"/>
  <c r="J11" i="1"/>
  <c r="L10" i="1"/>
  <c r="K10" i="1"/>
  <c r="J10" i="1"/>
  <c r="L17" i="1"/>
  <c r="K17" i="1"/>
  <c r="J17" i="1"/>
  <c r="L9" i="1"/>
  <c r="K9" i="1"/>
  <c r="J9" i="1"/>
  <c r="L5" i="1"/>
  <c r="K5" i="1"/>
  <c r="J5" i="1"/>
  <c r="L3" i="1"/>
  <c r="K3" i="1"/>
  <c r="J3" i="1"/>
  <c r="L4" i="1"/>
  <c r="K4" i="1"/>
  <c r="J4" i="1"/>
  <c r="L16" i="1"/>
  <c r="K16" i="1"/>
  <c r="J16" i="1"/>
  <c r="L15" i="1"/>
  <c r="K15" i="1"/>
  <c r="J15" i="1"/>
  <c r="L21" i="1"/>
  <c r="K21" i="1"/>
  <c r="J21" i="1"/>
  <c r="L20" i="1"/>
  <c r="K20" i="1"/>
  <c r="J20" i="1"/>
  <c r="L2" i="1"/>
  <c r="K2" i="1"/>
  <c r="J2" i="1"/>
  <c r="L8" i="1"/>
  <c r="K8" i="1"/>
  <c r="J8" i="1"/>
  <c r="L7" i="1"/>
  <c r="K7" i="1"/>
  <c r="J7" i="1"/>
  <c r="L14" i="1"/>
  <c r="K14" i="1"/>
  <c r="J14" i="1"/>
  <c r="L13" i="1"/>
  <c r="K13" i="1"/>
  <c r="J13" i="1"/>
  <c r="L19" i="1"/>
  <c r="K19" i="1"/>
  <c r="J19" i="1"/>
  <c r="B37" i="1"/>
  <c r="B36" i="1"/>
  <c r="B35" i="1"/>
  <c r="B34" i="1"/>
  <c r="B33" i="1"/>
  <c r="B32" i="1"/>
  <c r="B31" i="1"/>
  <c r="B30" i="1"/>
  <c r="B29" i="1"/>
  <c r="B28" i="1"/>
  <c r="B27" i="1"/>
  <c r="B26" i="1"/>
  <c r="B25" i="1"/>
  <c r="B24" i="1"/>
  <c r="B23" i="1"/>
  <c r="B22" i="1"/>
  <c r="B12" i="1"/>
  <c r="B18" i="1"/>
  <c r="B6" i="1"/>
  <c r="B11" i="1"/>
  <c r="B10" i="1"/>
  <c r="B17" i="1"/>
  <c r="B9" i="1"/>
  <c r="B5" i="1"/>
  <c r="B3" i="1"/>
  <c r="B4" i="1"/>
  <c r="B16" i="1"/>
  <c r="B15" i="1"/>
  <c r="B21" i="1"/>
  <c r="B20" i="1"/>
  <c r="B2" i="1"/>
  <c r="B8" i="1"/>
  <c r="B7" i="1"/>
  <c r="B14" i="1"/>
  <c r="B13" i="1"/>
  <c r="B19" i="1"/>
  <c r="A41" i="1"/>
  <c r="A40" i="1"/>
  <c r="A39" i="1"/>
  <c r="A38" i="1"/>
  <c r="A37" i="1"/>
  <c r="A36" i="1"/>
  <c r="A35" i="1"/>
  <c r="A34" i="1"/>
  <c r="A33" i="1"/>
  <c r="A32" i="1"/>
  <c r="A31" i="1"/>
  <c r="A30" i="1"/>
  <c r="A29" i="1"/>
  <c r="A28" i="1"/>
  <c r="A27" i="1"/>
  <c r="A26" i="1"/>
  <c r="A25" i="1"/>
  <c r="A24" i="1"/>
  <c r="A23" i="1"/>
  <c r="A22" i="1"/>
  <c r="A12" i="1"/>
  <c r="A18" i="1"/>
  <c r="A6" i="1"/>
  <c r="A11" i="1"/>
  <c r="A10" i="1"/>
  <c r="A17" i="1"/>
  <c r="A9" i="1"/>
  <c r="A5" i="1"/>
  <c r="A3" i="1"/>
  <c r="A4" i="1"/>
  <c r="A16" i="1"/>
  <c r="A15" i="1"/>
  <c r="A21" i="1"/>
  <c r="A20" i="1"/>
  <c r="A2" i="1"/>
  <c r="A8" i="1"/>
  <c r="A7" i="1"/>
  <c r="A14" i="1"/>
  <c r="A13" i="1"/>
  <c r="A19" i="1"/>
  <c r="M42" i="1" l="1"/>
  <c r="M6" i="1"/>
  <c r="M4" i="1"/>
  <c r="M38" i="1"/>
  <c r="M14" i="1"/>
  <c r="M16" i="1"/>
  <c r="M26" i="1"/>
  <c r="M34" i="1"/>
  <c r="M18" i="1"/>
  <c r="M28" i="1"/>
  <c r="M36" i="1"/>
  <c r="M44" i="1"/>
  <c r="M5" i="1"/>
  <c r="M29" i="1"/>
  <c r="M37" i="1"/>
  <c r="M20" i="1"/>
  <c r="M23" i="1"/>
  <c r="M31" i="1"/>
  <c r="M43" i="1"/>
  <c r="M2" i="1"/>
  <c r="M9" i="1"/>
  <c r="M22" i="1"/>
  <c r="M30" i="1"/>
  <c r="M46" i="1"/>
  <c r="M47" i="1"/>
  <c r="M13" i="1"/>
  <c r="M11" i="1"/>
  <c r="M25" i="1"/>
  <c r="M41" i="1"/>
  <c r="M8" i="1"/>
  <c r="M3" i="1"/>
  <c r="M27" i="1"/>
  <c r="M12" i="1"/>
  <c r="M45" i="1"/>
  <c r="M7" i="1"/>
  <c r="M33" i="1"/>
  <c r="M17" i="1"/>
  <c r="M39" i="1"/>
  <c r="M15" i="1"/>
  <c r="M19" i="1"/>
  <c r="M21" i="1"/>
  <c r="M10" i="1"/>
  <c r="M24" i="1"/>
  <c r="M32" i="1"/>
  <c r="M40" i="1"/>
</calcChain>
</file>

<file path=xl/sharedStrings.xml><?xml version="1.0" encoding="utf-8"?>
<sst xmlns="http://schemas.openxmlformats.org/spreadsheetml/2006/main" count="68" uniqueCount="64">
  <si>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</si>
  <si>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</si>
  <si>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</si>
  <si>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</si>
  <si>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</si>
  <si>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</si>
  <si>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</si>
  <si>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</si>
  <si>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</si>
  <si>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</si>
  <si>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</si>
  <si>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</si>
  <si>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</si>
  <si>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</si>
  <si>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</si>
  <si>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</si>
  <si>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</si>
  <si>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</si>
  <si>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</si>
  <si>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軍事</t>
  </si>
  <si>
    <t>貿易</t>
  </si>
  <si>
    <t>外交</t>
  </si>
  <si>
    <t>紛争</t>
  </si>
  <si>
    <t>安全保障</t>
  </si>
  <si>
    <t>国内政治</t>
  </si>
  <si>
    <t>その他</t>
  </si>
  <si>
    <t>国際関係に影響</t>
  </si>
  <si>
    <t>安全保障に影響</t>
  </si>
  <si>
    <t>経済に影響</t>
  </si>
  <si>
    <t>エネルギー市場に影響</t>
  </si>
  <si>
    <t>貿易に影響</t>
  </si>
  <si>
    <t>金融市場に影響</t>
  </si>
  <si>
    <t>軍事的緊張が高まる</t>
  </si>
  <si>
    <t>外交関係が悪化</t>
  </si>
  <si>
    <t>外交関係が改善</t>
  </si>
  <si>
    <t>地域情勢が不安定化</t>
  </si>
  <si>
    <t>地域情勢が安定化</t>
  </si>
  <si>
    <t>制裁強化</t>
  </si>
  <si>
    <t>制裁緩和</t>
  </si>
  <si>
    <t>サプライチェーンに影響</t>
  </si>
  <si>
    <t>国内政治に影響</t>
  </si>
  <si>
    <t>人道問題に影響</t>
  </si>
  <si>
    <t>不明</t>
  </si>
  <si>
    <t>経済</t>
  </si>
  <si>
    <t>エネルギー</t>
  </si>
  <si>
    <t>制裁</t>
  </si>
  <si>
    <t>首脳会談</t>
  </si>
  <si>
    <t>金融</t>
  </si>
  <si>
    <t>人道</t>
  </si>
  <si>
    <t>テクノロジー</t>
  </si>
  <si>
    <t>サイバー</t>
  </si>
  <si>
    <t>Bloomberg</t>
    <phoneticPr fontId="18"/>
  </si>
  <si>
    <t>https://www.bloomberg.com/news/articles/2026-04-15/uk-pledges-120-000-drones-for-ukraine-calling-it-priority?srnd=phx-politics</t>
  </si>
  <si>
    <t>イギリス</t>
    <phoneticPr fontId="18"/>
  </si>
  <si>
    <t>英、ウクライナへ12万機のドローン供与へ</t>
    <phoneticPr fontId="18"/>
  </si>
  <si>
    <t>イギリス政府、少なくとも12万機のドローンを2026年にウクライナに供与すると発表。長距離攻撃、偵察、物流、海洋用を含む最大規模の支援で、英国防相が最優先であると表明した</t>
    <rPh sb="4" eb="6">
      <t>セイフ</t>
    </rPh>
    <rPh sb="26" eb="27">
      <t>ネン</t>
    </rPh>
    <rPh sb="69" eb="71">
      <t>エイコク</t>
    </rPh>
    <phoneticPr fontId="18"/>
  </si>
  <si>
    <t>ウクライナ</t>
    <phoneticPr fontId="18"/>
  </si>
  <si>
    <t>欧米の軍事支援が一段と強化され、紛争長期化や防衛装備需要の増大を通じて防衛産業・安全保障協力に影響を与え、日本の装備調達や地域安全保障にも波及し得る</t>
    <phoneticPr fontId="18"/>
  </si>
  <si>
    <t>アメリカ</t>
    <phoneticPr fontId="18"/>
  </si>
  <si>
    <t>米国、イギリスのチャゴス諸島移譲を阻止</t>
    <rPh sb="0" eb="2">
      <t>ベイコク</t>
    </rPh>
    <rPh sb="12" eb="14">
      <t>ショトウ</t>
    </rPh>
    <phoneticPr fontId="18"/>
  </si>
  <si>
    <t>イギリスとモーリシャス間で進んでいたチャゴス諸島の返還案に米が反対し変換案の承認を撤回。英国は関連法案の議会提出を中止した。</t>
    <rPh sb="13" eb="14">
      <t>スス</t>
    </rPh>
    <rPh sb="29" eb="30">
      <t>ベイ</t>
    </rPh>
    <rPh sb="34" eb="37">
      <t>ヘンカンアン</t>
    </rPh>
    <phoneticPr fontId="18"/>
  </si>
  <si>
    <t>モーリシャス</t>
    <phoneticPr fontId="18"/>
  </si>
  <si>
    <t>米英の足並みが乱れ、インド洋での基地運用と域内安全保障に不確実性が生じる。海上輸送や同盟協力を通じて日本にも間接的な影響が及ぶ。</t>
    <phoneticPr fontId="18"/>
  </si>
  <si>
    <t>https://www.bloomberg.com/news/articles/2026-04-14/chagos-islands-how-trump-blocked-uk-s-diego-garcia-deal-with-mauritius?srnd=phx-politics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</si>
</sst>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5">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0" fillId="0" borderId="0" xfId="42">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47"/>
  <sheetViews>
    <sheetView tabSelected="1" topLeftCell="B1" workbookViewId="0">
      <pane ySplit="1" topLeftCell="A2" activePane="bottomLeft" state="frozen"/>
      <selection pane="bottomLeft" activeCell="Q6" sqref="Q6"/>
    </sheetView>
  </sheetViews>
  <sheetFormatPr defaultRowHeight="18"/>
  <cols>
    <col min="1" max="2" width="8.796875" style="2"/>
    <col min="10" max="13" width="8.796875" style="2"/>
    <col min="16" max="16" width="10.19921875" style="1"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s="1" t="s">
        <v>15</v>
      </c>
      <c r="Q1" t="s">
        <v>16</v>
      </c>
      <c r="R1" t="s">
        <v>17</v>
      </c>
      <c r="S1" t="s">
        <v>18</v>
      </c>
    </row>
    <row r="2" spans="1:19">
      <c r="A2" s="2" t="str">
        <f>IF(C2="","",VLOOKUP(C2,[1]ISO辞書!A:C,2,FALSE))</f>
        <v>GBR</v>
      </c>
      <c r="B2" s="3" t="str">
        <f>IF(C2="","",VLOOKUP(C2,[1]ISO辞書!A:C,3,FALSE))</f>
        <v>Britain</v>
      </c>
      <c r="C2" t="s">
        <v>53</v>
      </c>
      <c r="D2" t="s">
        <v>54</v>
      </c>
      <c r="E2" t="s">
        <v>55</v>
      </c>
      <c r="G2" t="s">
        <v>56</v>
      </c>
      <c r="J2" s="2" t="str">
        <f>IF(G2="","",VLOOKUP(G2,[1]ISO辞書!A:B,2,FALSE))</f>
        <v>UKR</v>
      </c>
      <c r="K2" s="2" t="str">
        <f>IF(H2="","",VLOOKUP(H2,[1]ISO辞書!A:B,2,FALSE))</f>
        <v/>
      </c>
      <c r="L2" s="2" t="str">
        <f>IF(I2="","",VLOOKUP(I2,[1]ISO辞書!A:B,2,FALSE))</f>
        <v/>
      </c>
      <c r="M2" s="3" t="str">
        <f t="shared" ref="M2:M47" si="0">_xlfn.TEXTJOIN(";",TRUE,J2:L2)</f>
        <v>UKR</v>
      </c>
      <c r="N2" t="s">
        <v>57</v>
      </c>
      <c r="O2" t="s">
        <v>19</v>
      </c>
      <c r="P2" s="1">
        <v>46127</v>
      </c>
      <c r="Q2" t="s">
        <v>51</v>
      </c>
      <c r="R2" s="4" t="s">
        <v>52</v>
      </c>
      <c r="S2">
        <v>4</v>
      </c>
    </row>
    <row r="3" spans="1:19">
      <c r="A3" s="2" t="str">
        <f>IF(C3="","",VLOOKUP(C3,[1]ISO辞書!A:C,2,FALSE))</f>
        <v>USA</v>
      </c>
      <c r="B3" s="3" t="str">
        <f>IF(C3="","",VLOOKUP(C3,[1]ISO辞書!A:C,3,FALSE))</f>
        <v>America</v>
      </c>
      <c r="C3" t="s">
        <v>58</v>
      </c>
      <c r="D3" t="s">
        <v>59</v>
      </c>
      <c r="E3" t="s">
        <v>60</v>
      </c>
      <c r="G3" t="s">
        <v>53</v>
      </c>
      <c r="H3" t="s">
        <v>61</v>
      </c>
      <c r="J3" s="2" t="str">
        <f>IF(G3="","",VLOOKUP(G3,[1]ISO辞書!A:B,2,FALSE))</f>
        <v>GBR</v>
      </c>
      <c r="K3" s="2" t="str">
        <f>IF(H3="","",VLOOKUP(H3,[1]ISO辞書!A:B,2,FALSE))</f>
        <v>MUS</v>
      </c>
      <c r="L3" s="2" t="str">
        <f>IF(I3="","",VLOOKUP(I3,[1]ISO辞書!A:B,2,FALSE))</f>
        <v/>
      </c>
      <c r="M3" s="3" t="str">
        <f t="shared" si="0"/>
        <v>GBR;MUS</v>
      </c>
      <c r="N3" t="s">
        <v>62</v>
      </c>
      <c r="O3" t="s">
        <v>21</v>
      </c>
      <c r="P3" s="1">
        <v>46126</v>
      </c>
      <c r="Q3" t="s">
        <v>51</v>
      </c>
      <c r="R3" t="s">
        <v>63</v>
      </c>
      <c r="S3">
        <v>4</v>
      </c>
    </row>
    <row r="4" spans="1:19">
      <c r="A4" s="2" t="str">
        <f>IF(C4="","",VLOOKUP(C4,[1]ISO辞書!A:C,2,FALSE))</f>
        <v/>
      </c>
      <c r="B4" s="3" t="str">
        <f>IF(C4="","",VLOOKUP(C4,[1]ISO辞書!A:C,3,FALSE))</f>
        <v/>
      </c>
      <c r="J4" s="2" t="str">
        <f>IF(G4="","",VLOOKUP(G4,[1]ISO辞書!A:B,2,FALSE))</f>
        <v/>
      </c>
      <c r="K4" s="2" t="str">
        <f>IF(H4="","",VLOOKUP(H4,[1]ISO辞書!A:B,2,FALSE))</f>
        <v/>
      </c>
      <c r="L4" s="2" t="str">
        <f>IF(I4="","",VLOOKUP(I4,[1]ISO辞書!A:B,2,FALSE))</f>
        <v/>
      </c>
      <c r="M4" s="3" t="str">
        <f t="shared" si="0"/>
        <v/>
      </c>
    </row>
    <row r="5" spans="1:19">
      <c r="A5" s="2" t="str">
        <f>IF(C5="","",VLOOKUP(C5,[1]ISO辞書!A:C,2,FALSE))</f>
        <v/>
      </c>
      <c r="B5" s="3" t="str">
        <f>IF(C5="","",VLOOKUP(C5,[1]ISO辞書!A:C,3,FALSE))</f>
        <v/>
      </c>
      <c r="J5" s="2" t="str">
        <f>IF(G5="","",VLOOKUP(G5,[1]ISO辞書!A:B,2,FALSE))</f>
        <v/>
      </c>
      <c r="K5" s="2" t="str">
        <f>IF(H5="","",VLOOKUP(H5,[1]ISO辞書!A:B,2,FALSE))</f>
        <v/>
      </c>
      <c r="L5" s="2" t="str">
        <f>IF(I5="","",VLOOKUP(I5,[1]ISO辞書!A:B,2,FALSE))</f>
        <v/>
      </c>
      <c r="M5" s="3" t="str">
        <f t="shared" si="0"/>
        <v/>
      </c>
    </row>
    <row r="6" spans="1:19">
      <c r="A6" s="2" t="str">
        <f>IF(C6="","",VLOOKUP(C6,[1]ISO辞書!A:C,2,FALSE))</f>
        <v/>
      </c>
      <c r="B6" s="3" t="str">
        <f>IF(C6="","",VLOOKUP(C6,[1]ISO辞書!A:C,3,FALSE))</f>
        <v/>
      </c>
      <c r="J6" s="2" t="str">
        <f>IF(G6="","",VLOOKUP(G6,[1]ISO辞書!A:B,2,FALSE))</f>
        <v/>
      </c>
      <c r="K6" s="2" t="str">
        <f>IF(H6="","",VLOOKUP(H6,[1]ISO辞書!A:B,2,FALSE))</f>
        <v/>
      </c>
      <c r="L6" s="2" t="str">
        <f>IF(I6="","",VLOOKUP(I6,[1]ISO辞書!A:B,2,FALSE))</f>
        <v/>
      </c>
      <c r="M6" s="3" t="str">
        <f t="shared" si="0"/>
        <v/>
      </c>
    </row>
    <row r="7" spans="1:19">
      <c r="A7" s="2" t="str">
        <f>IF(C7="","",VLOOKUP(C7,[1]ISO辞書!A:C,2,FALSE))</f>
        <v/>
      </c>
      <c r="B7" s="3" t="str">
        <f>IF(C7="","",VLOOKUP(C7,[1]ISO辞書!A:C,3,FALSE))</f>
        <v/>
      </c>
      <c r="J7" s="2" t="str">
        <f>IF(G7="","",VLOOKUP(G7,[1]ISO辞書!A:B,2,FALSE))</f>
        <v/>
      </c>
      <c r="K7" s="2" t="str">
        <f>IF(H7="","",VLOOKUP(H7,[1]ISO辞書!A:B,2,FALSE))</f>
        <v/>
      </c>
      <c r="L7" s="2" t="str">
        <f>IF(I7="","",VLOOKUP(I7,[1]ISO辞書!A:B,2,FALSE))</f>
        <v/>
      </c>
      <c r="M7" s="3" t="str">
        <f t="shared" si="0"/>
        <v/>
      </c>
    </row>
    <row r="8" spans="1:19">
      <c r="A8" s="2" t="str">
        <f>IF(C8="","",VLOOKUP(C8,[1]ISO辞書!A:C,2,FALSE))</f>
        <v/>
      </c>
      <c r="B8" s="3" t="str">
        <f>IF(C8="","",VLOOKUP(C8,[1]ISO辞書!A:C,3,FALSE))</f>
        <v/>
      </c>
      <c r="J8" s="2" t="str">
        <f>IF(G8="","",VLOOKUP(G8,[1]ISO辞書!A:B,2,FALSE))</f>
        <v/>
      </c>
      <c r="K8" s="2" t="str">
        <f>IF(H8="","",VLOOKUP(H8,[1]ISO辞書!A:B,2,FALSE))</f>
        <v/>
      </c>
      <c r="L8" s="2" t="str">
        <f>IF(I8="","",VLOOKUP(I8,[1]ISO辞書!A:B,2,FALSE))</f>
        <v/>
      </c>
      <c r="M8" s="3" t="str">
        <f t="shared" si="0"/>
        <v/>
      </c>
    </row>
    <row r="9" spans="1:19">
      <c r="A9" s="2" t="str">
        <f>IF(C9="","",VLOOKUP(C9,[1]ISO辞書!A:C,2,FALSE))</f>
        <v/>
      </c>
      <c r="B9" s="3" t="str">
        <f>IF(C9="","",VLOOKUP(C9,[1]ISO辞書!A:C,3,FALSE))</f>
        <v/>
      </c>
      <c r="J9" s="2" t="str">
        <f>IF(G9="","",VLOOKUP(G9,[1]ISO辞書!A:B,2,FALSE))</f>
        <v/>
      </c>
      <c r="K9" s="2" t="str">
        <f>IF(H9="","",VLOOKUP(H9,[1]ISO辞書!A:B,2,FALSE))</f>
        <v/>
      </c>
      <c r="L9" s="2" t="str">
        <f>IF(I9="","",VLOOKUP(I9,[1]ISO辞書!A:B,2,FALSE))</f>
        <v/>
      </c>
      <c r="M9" s="3" t="str">
        <f t="shared" si="0"/>
        <v/>
      </c>
    </row>
    <row r="10" spans="1:19">
      <c r="A10" s="2" t="str">
        <f>IF(C10="","",VLOOKUP(C10,[1]ISO辞書!A:C,2,FALSE))</f>
        <v/>
      </c>
      <c r="B10" s="3" t="str">
        <f>IF(C10="","",VLOOKUP(C10,[1]ISO辞書!A:C,3,FALSE))</f>
        <v/>
      </c>
      <c r="J10" s="2" t="str">
        <f>IF(G10="","",VLOOKUP(G10,[1]ISO辞書!A:B,2,FALSE))</f>
        <v/>
      </c>
      <c r="K10" s="2" t="str">
        <f>IF(H10="","",VLOOKUP(H10,[1]ISO辞書!A:B,2,FALSE))</f>
        <v/>
      </c>
      <c r="L10" s="2" t="str">
        <f>IF(I10="","",VLOOKUP(I10,[1]ISO辞書!A:B,2,FALSE))</f>
        <v/>
      </c>
      <c r="M10" s="3" t="str">
        <f t="shared" si="0"/>
        <v/>
      </c>
    </row>
    <row r="11" spans="1:19">
      <c r="A11" s="2" t="str">
        <f>IF(C11="","",VLOOKUP(C11,[1]ISO辞書!A:C,2,FALSE))</f>
        <v/>
      </c>
      <c r="B11" s="3" t="str">
        <f>IF(C11="","",VLOOKUP(C11,[1]ISO辞書!A:C,3,FALSE))</f>
        <v/>
      </c>
      <c r="J11" s="2" t="str">
        <f>IF(G11="","",VLOOKUP(G11,[1]ISO辞書!A:B,2,FALSE))</f>
        <v/>
      </c>
      <c r="K11" s="2" t="str">
        <f>IF(H11="","",VLOOKUP(H11,[1]ISO辞書!A:B,2,FALSE))</f>
        <v/>
      </c>
      <c r="L11" s="2" t="str">
        <f>IF(I11="","",VLOOKUP(I11,[1]ISO辞書!A:B,2,FALSE))</f>
        <v/>
      </c>
      <c r="M11" s="3" t="str">
        <f t="shared" si="0"/>
        <v/>
      </c>
    </row>
    <row r="12" spans="1:19">
      <c r="A12" s="2" t="str">
        <f>IF(C12="","",VLOOKUP(C12,[1]ISO辞書!A:C,2,FALSE))</f>
        <v/>
      </c>
      <c r="B12" s="3" t="str">
        <f>IF(C12="","",VLOOKUP(C12,[1]ISO辞書!A:C,3,FALSE))</f>
        <v/>
      </c>
      <c r="J12" s="2" t="str">
        <f>IF(G12="","",VLOOKUP(G12,[1]ISO辞書!A:B,2,FALSE))</f>
        <v/>
      </c>
      <c r="K12" s="2" t="str">
        <f>IF(H12="","",VLOOKUP(H12,[1]ISO辞書!A:B,2,FALSE))</f>
        <v/>
      </c>
      <c r="L12" s="2" t="str">
        <f>IF(I12="","",VLOOKUP(I12,[1]ISO辞書!A:B,2,FALSE))</f>
        <v/>
      </c>
      <c r="M12" s="3" t="str">
        <f t="shared" si="0"/>
        <v/>
      </c>
    </row>
    <row r="13" spans="1:19">
      <c r="A13" s="2" t="str">
        <f>IF(C13="","",VLOOKUP(C13,[1]ISO辞書!A:C,2,FALSE))</f>
        <v/>
      </c>
      <c r="B13" s="3" t="str">
        <f>IF(C13="","",VLOOKUP(C13,[1]ISO辞書!A:C,3,FALSE))</f>
        <v/>
      </c>
      <c r="J13" s="2" t="str">
        <f>IF(G13="","",VLOOKUP(G13,[1]ISO辞書!A:B,2,FALSE))</f>
        <v/>
      </c>
      <c r="K13" s="2" t="str">
        <f>IF(H13="","",VLOOKUP(H13,[1]ISO辞書!A:B,2,FALSE))</f>
        <v/>
      </c>
      <c r="L13" s="2" t="str">
        <f>IF(I13="","",VLOOKUP(I13,[1]ISO辞書!A:B,2,FALSE))</f>
        <v/>
      </c>
      <c r="M13" s="3" t="str">
        <f t="shared" si="0"/>
        <v/>
      </c>
    </row>
    <row r="14" spans="1:19">
      <c r="A14" s="2" t="str">
        <f>IF(C14="","",VLOOKUP(C14,[1]ISO辞書!A:C,2,FALSE))</f>
        <v/>
      </c>
      <c r="B14" s="3" t="str">
        <f>IF(C14="","",VLOOKUP(C14,[1]ISO辞書!A:C,3,FALSE))</f>
        <v/>
      </c>
      <c r="J14" s="2" t="str">
        <f>IF(G14="","",VLOOKUP(G14,[1]ISO辞書!A:B,2,FALSE))</f>
        <v/>
      </c>
      <c r="K14" s="2" t="str">
        <f>IF(H14="","",VLOOKUP(H14,[1]ISO辞書!A:B,2,FALSE))</f>
        <v/>
      </c>
      <c r="L14" s="2" t="str">
        <f>IF(I14="","",VLOOKUP(I14,[1]ISO辞書!A:B,2,FALSE))</f>
        <v/>
      </c>
      <c r="M14" s="3" t="str">
        <f t="shared" si="0"/>
        <v/>
      </c>
    </row>
    <row r="15" spans="1:19">
      <c r="A15" s="2" t="str">
        <f>IF(C15="","",VLOOKUP(C15,[1]ISO辞書!A:C,2,FALSE))</f>
        <v/>
      </c>
      <c r="B15" s="3" t="str">
        <f>IF(C15="","",VLOOKUP(C15,[1]ISO辞書!A:C,3,FALSE))</f>
        <v/>
      </c>
      <c r="J15" s="2" t="str">
        <f>IF(G15="","",VLOOKUP(G15,[1]ISO辞書!A:B,2,FALSE))</f>
        <v/>
      </c>
      <c r="K15" s="2" t="str">
        <f>IF(H15="","",VLOOKUP(H15,[1]ISO辞書!A:B,2,FALSE))</f>
        <v/>
      </c>
      <c r="L15" s="2" t="str">
        <f>IF(I15="","",VLOOKUP(I15,[1]ISO辞書!A:B,2,FALSE))</f>
        <v/>
      </c>
      <c r="M15" s="3" t="str">
        <f t="shared" si="0"/>
        <v/>
      </c>
    </row>
    <row r="16" spans="1:19">
      <c r="A16" s="2" t="str">
        <f>IF(C16="","",VLOOKUP(C16,[1]ISO辞書!A:C,2,FALSE))</f>
        <v/>
      </c>
      <c r="B16" s="3" t="str">
        <f>IF(C16="","",VLOOKUP(C16,[1]ISO辞書!A:C,3,FALSE))</f>
        <v/>
      </c>
      <c r="J16" s="2" t="str">
        <f>IF(G16="","",VLOOKUP(G16,[1]ISO辞書!A:B,2,FALSE))</f>
        <v/>
      </c>
      <c r="K16" s="2" t="str">
        <f>IF(H16="","",VLOOKUP(H16,[1]ISO辞書!A:B,2,FALSE))</f>
        <v/>
      </c>
      <c r="L16" s="2" t="str">
        <f>IF(I16="","",VLOOKUP(I16,[1]ISO辞書!A:B,2,FALSE))</f>
        <v/>
      </c>
      <c r="M16" s="3" t="str">
        <f t="shared" si="0"/>
        <v/>
      </c>
    </row>
    <row r="17" spans="1:13">
      <c r="A17" s="2" t="str">
        <f>IF(C17="","",VLOOKUP(C17,[1]ISO辞書!A:C,2,FALSE))</f>
        <v/>
      </c>
      <c r="B17" s="3" t="str">
        <f>IF(C17="","",VLOOKUP(C17,[1]ISO辞書!A:C,3,FALSE))</f>
        <v/>
      </c>
      <c r="J17" s="2" t="str">
        <f>IF(G17="","",VLOOKUP(G17,[1]ISO辞書!A:B,2,FALSE))</f>
        <v/>
      </c>
      <c r="K17" s="2" t="str">
        <f>IF(H17="","",VLOOKUP(H17,[1]ISO辞書!A:B,2,FALSE))</f>
        <v/>
      </c>
      <c r="L17" s="2" t="str">
        <f>IF(I17="","",VLOOKUP(I17,[1]ISO辞書!A:B,2,FALSE))</f>
        <v/>
      </c>
      <c r="M17" s="3" t="str">
        <f t="shared" si="0"/>
        <v/>
      </c>
    </row>
    <row r="18" spans="1:13">
      <c r="A18" s="2" t="str">
        <f>IF(C18="","",VLOOKUP(C18,[1]ISO辞書!A:C,2,FALSE))</f>
        <v/>
      </c>
      <c r="B18" s="3" t="str">
        <f>IF(C18="","",VLOOKUP(C18,[1]ISO辞書!A:C,3,FALSE))</f>
        <v/>
      </c>
      <c r="J18" s="2" t="str">
        <f>IF(G18="","",VLOOKUP(G18,[1]ISO辞書!A:B,2,FALSE))</f>
        <v/>
      </c>
      <c r="K18" s="2" t="str">
        <f>IF(H18="","",VLOOKUP(H18,[1]ISO辞書!A:B,2,FALSE))</f>
        <v/>
      </c>
      <c r="L18" s="2" t="str">
        <f>IF(I18="","",VLOOKUP(I18,[1]ISO辞書!A:B,2,FALSE))</f>
        <v/>
      </c>
      <c r="M18" s="3" t="str">
        <f t="shared" si="0"/>
        <v/>
      </c>
    </row>
    <row r="19" spans="1:13">
      <c r="A19" s="2" t="str">
        <f>IF(C19="","",VLOOKUP(C19,[1]ISO辞書!A:C,2,FALSE))</f>
        <v/>
      </c>
      <c r="B19" s="3" t="str">
        <f>IF(C19="","",VLOOKUP(C19,[1]ISO辞書!A:C,3,FALSE))</f>
        <v/>
      </c>
      <c r="J19" s="2" t="str">
        <f>IF(G19="","",VLOOKUP(G19,[1]ISO辞書!A:B,2,FALSE))</f>
        <v/>
      </c>
      <c r="K19" s="2" t="str">
        <f>IF(H19="","",VLOOKUP(H19,[1]ISO辞書!A:B,2,FALSE))</f>
        <v/>
      </c>
      <c r="L19" s="2" t="str">
        <f>IF(I19="","",VLOOKUP(I19,[1]ISO辞書!A:B,2,FALSE))</f>
        <v/>
      </c>
      <c r="M19" s="3" t="str">
        <f t="shared" si="0"/>
        <v/>
      </c>
    </row>
    <row r="20" spans="1:13">
      <c r="A20" s="2" t="str">
        <f>IF(C20="","",VLOOKUP(C20,[1]ISO辞書!A:C,2,FALSE))</f>
        <v/>
      </c>
      <c r="B20" s="3" t="str">
        <f>IF(C20="","",VLOOKUP(C20,[1]ISO辞書!A:C,3,FALSE))</f>
        <v/>
      </c>
      <c r="J20" s="2" t="str">
        <f>IF(G20="","",VLOOKUP(G20,[1]ISO辞書!A:B,2,FALSE))</f>
        <v/>
      </c>
      <c r="K20" s="2" t="str">
        <f>IF(H20="","",VLOOKUP(H20,[1]ISO辞書!A:B,2,FALSE))</f>
        <v/>
      </c>
      <c r="L20" s="2" t="str">
        <f>IF(I20="","",VLOOKUP(I20,[1]ISO辞書!A:B,2,FALSE))</f>
        <v/>
      </c>
      <c r="M20" s="3" t="str">
        <f t="shared" si="0"/>
        <v/>
      </c>
    </row>
    <row r="21" spans="1:13">
      <c r="A21" s="2" t="str">
        <f>IF(C21="","",VLOOKUP(C21,[1]ISO辞書!A:C,2,FALSE))</f>
        <v/>
      </c>
      <c r="B21" s="3" t="str">
        <f>IF(C21="","",VLOOKUP(C21,[1]ISO辞書!A:C,3,FALSE))</f>
        <v/>
      </c>
      <c r="J21" s="2" t="str">
        <f>IF(G21="","",VLOOKUP(G21,[1]ISO辞書!A:B,2,FALSE))</f>
        <v/>
      </c>
      <c r="K21" s="2" t="str">
        <f>IF(H21="","",VLOOKUP(H21,[1]ISO辞書!A:B,2,FALSE))</f>
        <v/>
      </c>
      <c r="L21" s="2" t="str">
        <f>IF(I21="","",VLOOKUP(I21,[1]ISO辞書!A:B,2,FALSE))</f>
        <v/>
      </c>
      <c r="M21" s="3" t="str">
        <f t="shared" si="0"/>
        <v/>
      </c>
    </row>
    <row r="22" spans="1:13">
      <c r="A22" s="2" t="str">
        <f>IF(C22="","",VLOOKUP(C22,[1]ISO辞書!A:C,2,FALSE))</f>
        <v/>
      </c>
      <c r="B22" s="3" t="str">
        <f>IF(C22="","",VLOOKUP(C22,[1]ISO辞書!A:C,3,FALSE))</f>
        <v/>
      </c>
      <c r="J22" s="2" t="str">
        <f>IF(G22="","",VLOOKUP(G22,[1]ISO辞書!A:B,2,FALSE))</f>
        <v/>
      </c>
      <c r="K22" s="2" t="str">
        <f>IF(H22="","",VLOOKUP(H22,[1]ISO辞書!A:B,2,FALSE))</f>
        <v/>
      </c>
      <c r="L22" s="2" t="str">
        <f>IF(I22="","",VLOOKUP(I22,[1]ISO辞書!A:B,2,FALSE))</f>
        <v/>
      </c>
      <c r="M22" s="3" t="str">
        <f t="shared" si="0"/>
        <v/>
      </c>
    </row>
    <row r="23" spans="1:13">
      <c r="A23" s="2" t="str">
        <f>IF(C23="","",VLOOKUP(C23,[1]ISO辞書!A:C,2,FALSE))</f>
        <v/>
      </c>
      <c r="B23" s="3" t="str">
        <f>IF(C23="","",VLOOKUP(C23,[1]ISO辞書!A:C,3,FALSE))</f>
        <v/>
      </c>
      <c r="J23" s="2" t="str">
        <f>IF(G23="","",VLOOKUP(G23,[1]ISO辞書!A:B,2,FALSE))</f>
        <v/>
      </c>
      <c r="K23" s="2" t="str">
        <f>IF(H23="","",VLOOKUP(H23,[1]ISO辞書!A:B,2,FALSE))</f>
        <v/>
      </c>
      <c r="L23" s="2" t="str">
        <f>IF(I23="","",VLOOKUP(I23,[1]ISO辞書!A:B,2,FALSE))</f>
        <v/>
      </c>
      <c r="M23" s="3" t="str">
        <f t="shared" si="0"/>
        <v/>
      </c>
    </row>
    <row r="24" spans="1:13">
      <c r="A24" s="2" t="str">
        <f>IF(C24="","",VLOOKUP(C24,[1]ISO辞書!A:C,2,FALSE))</f>
        <v/>
      </c>
      <c r="B24" s="3" t="str">
        <f>IF(C24="","",VLOOKUP(C24,[1]ISO辞書!A:C,3,FALSE))</f>
        <v/>
      </c>
      <c r="J24" s="2" t="str">
        <f>IF(G24="","",VLOOKUP(G24,[1]ISO辞書!A:B,2,FALSE))</f>
        <v/>
      </c>
      <c r="K24" s="2" t="str">
        <f>IF(H24="","",VLOOKUP(H24,[1]ISO辞書!A:B,2,FALSE))</f>
        <v/>
      </c>
      <c r="L24" s="2" t="str">
        <f>IF(I24="","",VLOOKUP(I24,[1]ISO辞書!A:B,2,FALSE))</f>
        <v/>
      </c>
      <c r="M24" s="3" t="str">
        <f t="shared" si="0"/>
        <v/>
      </c>
    </row>
    <row r="25" spans="1:13">
      <c r="A25" s="2" t="str">
        <f>IF(C25="","",VLOOKUP(C25,[1]ISO辞書!A:C,2,FALSE))</f>
        <v/>
      </c>
      <c r="B25" s="3" t="str">
        <f>IF(C25="","",VLOOKUP(C25,[1]ISO辞書!A:C,3,FALSE))</f>
        <v/>
      </c>
      <c r="J25" s="2" t="str">
        <f>IF(G25="","",VLOOKUP(G25,[1]ISO辞書!A:B,2,FALSE))</f>
        <v/>
      </c>
      <c r="K25" s="2" t="str">
        <f>IF(H25="","",VLOOKUP(H25,[1]ISO辞書!A:B,2,FALSE))</f>
        <v/>
      </c>
      <c r="L25" s="2" t="str">
        <f>IF(I25="","",VLOOKUP(I25,[1]ISO辞書!A:B,2,FALSE))</f>
        <v/>
      </c>
      <c r="M25" s="3" t="str">
        <f t="shared" si="0"/>
        <v/>
      </c>
    </row>
    <row r="26" spans="1:13">
      <c r="A26" s="2" t="str">
        <f>IF(C26="","",VLOOKUP(C26,[1]ISO辞書!A:C,2,FALSE))</f>
        <v/>
      </c>
      <c r="B26" s="3" t="str">
        <f>IF(C26="","",VLOOKUP(C26,[1]ISO辞書!A:C,3,FALSE))</f>
        <v/>
      </c>
      <c r="J26" s="2" t="str">
        <f>IF(G26="","",VLOOKUP(G26,[1]ISO辞書!A:B,2,FALSE))</f>
        <v/>
      </c>
      <c r="K26" s="2" t="str">
        <f>IF(H26="","",VLOOKUP(H26,[1]ISO辞書!A:B,2,FALSE))</f>
        <v/>
      </c>
      <c r="L26" s="2" t="str">
        <f>IF(I26="","",VLOOKUP(I26,[1]ISO辞書!A:B,2,FALSE))</f>
        <v/>
      </c>
      <c r="M26" s="3" t="str">
        <f t="shared" si="0"/>
        <v/>
      </c>
    </row>
    <row r="27" spans="1:13">
      <c r="A27" s="2" t="str">
        <f>IF(C27="","",VLOOKUP(C27,[1]ISO辞書!A:C,2,FALSE))</f>
        <v/>
      </c>
      <c r="B27" s="3" t="str">
        <f>IF(C27="","",VLOOKUP(C27,[1]ISO辞書!A:C,3,FALSE))</f>
        <v/>
      </c>
      <c r="J27" s="2" t="str">
        <f>IF(G27="","",VLOOKUP(G27,[1]ISO辞書!A:B,2,FALSE))</f>
        <v/>
      </c>
      <c r="K27" s="2" t="str">
        <f>IF(H27="","",VLOOKUP(H27,[1]ISO辞書!A:B,2,FALSE))</f>
        <v/>
      </c>
      <c r="L27" s="2" t="str">
        <f>IF(I27="","",VLOOKUP(I27,[1]ISO辞書!A:B,2,FALSE))</f>
        <v/>
      </c>
      <c r="M27" s="3" t="str">
        <f t="shared" si="0"/>
        <v/>
      </c>
    </row>
    <row r="28" spans="1:13">
      <c r="A28" s="2" t="str">
        <f>IF(C28="","",VLOOKUP(C28,[1]ISO辞書!A:C,2,FALSE))</f>
        <v/>
      </c>
      <c r="B28" s="3" t="str">
        <f>IF(C28="","",VLOOKUP(C28,[1]ISO辞書!A:C,3,FALSE))</f>
        <v/>
      </c>
      <c r="J28" s="2" t="str">
        <f>IF(G28="","",VLOOKUP(G28,[1]ISO辞書!A:B,2,FALSE))</f>
        <v/>
      </c>
      <c r="K28" s="2" t="str">
        <f>IF(H28="","",VLOOKUP(H28,[1]ISO辞書!A:B,2,FALSE))</f>
        <v/>
      </c>
      <c r="L28" s="2" t="str">
        <f>IF(I28="","",VLOOKUP(I28,[1]ISO辞書!A:B,2,FALSE))</f>
        <v/>
      </c>
      <c r="M28" s="3" t="str">
        <f t="shared" si="0"/>
        <v/>
      </c>
    </row>
    <row r="29" spans="1:13">
      <c r="A29" s="2" t="str">
        <f>IF(C29="","",VLOOKUP(C29,[1]ISO辞書!A:C,2,FALSE))</f>
        <v/>
      </c>
      <c r="B29" s="3" t="str">
        <f>IF(C29="","",VLOOKUP(C29,[1]ISO辞書!A:C,3,FALSE))</f>
        <v/>
      </c>
      <c r="J29" s="2" t="str">
        <f>IF(G29="","",VLOOKUP(G29,[1]ISO辞書!A:B,2,FALSE))</f>
        <v/>
      </c>
      <c r="K29" s="2" t="str">
        <f>IF(H29="","",VLOOKUP(H29,[1]ISO辞書!A:B,2,FALSE))</f>
        <v/>
      </c>
      <c r="L29" s="2" t="str">
        <f>IF(I29="","",VLOOKUP(I29,[1]ISO辞書!A:B,2,FALSE))</f>
        <v/>
      </c>
      <c r="M29" s="3" t="str">
        <f t="shared" si="0"/>
        <v/>
      </c>
    </row>
    <row r="30" spans="1:13">
      <c r="A30" s="2" t="str">
        <f>IF(C30="","",VLOOKUP(C30,[1]ISO辞書!A:C,2,FALSE))</f>
        <v/>
      </c>
      <c r="B30" s="3" t="str">
        <f>IF(C30="","",VLOOKUP(C30,[1]ISO辞書!A:C,3,FALSE))</f>
        <v/>
      </c>
      <c r="J30" s="2" t="str">
        <f>IF(G30="","",VLOOKUP(G30,[1]ISO辞書!A:B,2,FALSE))</f>
        <v/>
      </c>
      <c r="K30" s="2" t="str">
        <f>IF(H30="","",VLOOKUP(H30,[1]ISO辞書!A:B,2,FALSE))</f>
        <v/>
      </c>
      <c r="L30" s="2" t="str">
        <f>IF(I30="","",VLOOKUP(I30,[1]ISO辞書!A:B,2,FALSE))</f>
        <v/>
      </c>
      <c r="M30" s="3" t="str">
        <f t="shared" si="0"/>
        <v/>
      </c>
    </row>
    <row r="31" spans="1:13">
      <c r="A31" s="2" t="str">
        <f>IF(C31="","",VLOOKUP(C31,[1]ISO辞書!A:C,2,FALSE))</f>
        <v/>
      </c>
      <c r="B31" s="3" t="str">
        <f>IF(C31="","",VLOOKUP(C31,[1]ISO辞書!A:C,3,FALSE))</f>
        <v/>
      </c>
      <c r="J31" s="2" t="str">
        <f>IF(G31="","",VLOOKUP(G31,[1]ISO辞書!A:B,2,FALSE))</f>
        <v/>
      </c>
      <c r="K31" s="2" t="str">
        <f>IF(H31="","",VLOOKUP(H31,[1]ISO辞書!A:B,2,FALSE))</f>
        <v/>
      </c>
      <c r="L31" s="2" t="str">
        <f>IF(I31="","",VLOOKUP(I31,[1]ISO辞書!A:B,2,FALSE))</f>
        <v/>
      </c>
      <c r="M31" s="3" t="str">
        <f t="shared" si="0"/>
        <v/>
      </c>
    </row>
    <row r="32" spans="1:13">
      <c r="A32" s="2" t="str">
        <f>IF(C32="","",VLOOKUP(C32,[1]ISO辞書!A:C,2,FALSE))</f>
        <v/>
      </c>
      <c r="B32" s="3" t="str">
        <f>IF(C32="","",VLOOKUP(C32,[1]ISO辞書!A:C,3,FALSE))</f>
        <v/>
      </c>
      <c r="J32" s="2" t="str">
        <f>IF(G32="","",VLOOKUP(G32,[1]ISO辞書!A:B,2,FALSE))</f>
        <v/>
      </c>
      <c r="K32" s="2" t="str">
        <f>IF(H32="","",VLOOKUP(H32,[1]ISO辞書!A:B,2,FALSE))</f>
        <v/>
      </c>
      <c r="L32" s="2" t="str">
        <f>IF(I32="","",VLOOKUP(I32,[1]ISO辞書!A:B,2,FALSE))</f>
        <v/>
      </c>
      <c r="M32" s="3" t="str">
        <f t="shared" si="0"/>
        <v/>
      </c>
    </row>
    <row r="33" spans="1:13">
      <c r="A33" s="2" t="str">
        <f>IF(C33="","",VLOOKUP(C33,[1]ISO辞書!A:C,2,FALSE))</f>
        <v/>
      </c>
      <c r="B33" s="3" t="str">
        <f>IF(C33="","",VLOOKUP(C33,[1]ISO辞書!A:C,3,FALSE))</f>
        <v/>
      </c>
      <c r="J33" s="2" t="str">
        <f>IF(G33="","",VLOOKUP(G33,[1]ISO辞書!A:B,2,FALSE))</f>
        <v/>
      </c>
      <c r="K33" s="2" t="str">
        <f>IF(H33="","",VLOOKUP(H33,[1]ISO辞書!A:B,2,FALSE))</f>
        <v/>
      </c>
      <c r="L33" s="2" t="str">
        <f>IF(I33="","",VLOOKUP(I33,[1]ISO辞書!A:B,2,FALSE))</f>
        <v/>
      </c>
      <c r="M33" s="3" t="str">
        <f t="shared" si="0"/>
        <v/>
      </c>
    </row>
    <row r="34" spans="1:13">
      <c r="A34" s="2" t="str">
        <f>IF(C34="","",VLOOKUP(C34,[1]ISO辞書!A:C,2,FALSE))</f>
        <v/>
      </c>
      <c r="B34" s="3" t="str">
        <f>IF(C34="","",VLOOKUP(C34,[1]ISO辞書!A:C,3,FALSE))</f>
        <v/>
      </c>
      <c r="J34" s="2" t="str">
        <f>IF(G34="","",VLOOKUP(G34,[1]ISO辞書!A:B,2,FALSE))</f>
        <v/>
      </c>
      <c r="K34" s="2" t="str">
        <f>IF(H34="","",VLOOKUP(H34,[1]ISO辞書!A:B,2,FALSE))</f>
        <v/>
      </c>
      <c r="L34" s="2" t="str">
        <f>IF(I34="","",VLOOKUP(I34,[1]ISO辞書!A:B,2,FALSE))</f>
        <v/>
      </c>
      <c r="M34" s="3" t="str">
        <f t="shared" si="0"/>
        <v/>
      </c>
    </row>
    <row r="35" spans="1:13">
      <c r="A35" s="2" t="str">
        <f>IF(C35="","",VLOOKUP(C35,[1]ISO辞書!A:C,2,FALSE))</f>
        <v/>
      </c>
      <c r="B35" s="3" t="str">
        <f>IF(C35="","",VLOOKUP(C35,[1]ISO辞書!A:C,3,FALSE))</f>
        <v/>
      </c>
      <c r="J35" s="2" t="str">
        <f>IF(G35="","",VLOOKUP(G35,[1]ISO辞書!A:B,2,FALSE))</f>
        <v/>
      </c>
      <c r="K35" s="2" t="str">
        <f>IF(H35="","",VLOOKUP(H35,[1]ISO辞書!A:B,2,FALSE))</f>
        <v/>
      </c>
      <c r="L35" s="2" t="str">
        <f>IF(I35="","",VLOOKUP(I35,[1]ISO辞書!A:B,2,FALSE))</f>
        <v/>
      </c>
      <c r="M35" s="3" t="str">
        <f t="shared" si="0"/>
        <v/>
      </c>
    </row>
    <row r="36" spans="1:13">
      <c r="A36" s="2" t="str">
        <f>IF(C36="","",VLOOKUP(C36,[1]ISO辞書!A:C,2,FALSE))</f>
        <v/>
      </c>
      <c r="B36" s="3" t="str">
        <f>IF(C36="","",VLOOKUP(C36,[1]ISO辞書!A:C,3,FALSE))</f>
        <v/>
      </c>
      <c r="J36" s="2" t="str">
        <f>IF(G36="","",VLOOKUP(G36,[1]ISO辞書!A:B,2,FALSE))</f>
        <v/>
      </c>
      <c r="K36" s="2" t="str">
        <f>IF(H36="","",VLOOKUP(H36,[1]ISO辞書!A:B,2,FALSE))</f>
        <v/>
      </c>
      <c r="L36" s="2" t="str">
        <f>IF(I36="","",VLOOKUP(I36,[1]ISO辞書!A:B,2,FALSE))</f>
        <v/>
      </c>
      <c r="M36" s="3" t="str">
        <f t="shared" si="0"/>
        <v/>
      </c>
    </row>
    <row r="37" spans="1:13">
      <c r="A37" s="2" t="str">
        <f>IF(C37="","",VLOOKUP(C37,[1]ISO辞書!A:C,2,FALSE))</f>
        <v/>
      </c>
      <c r="B37" s="3" t="str">
        <f>IF(C37="","",VLOOKUP(C37,[1]ISO辞書!A:C,3,FALSE))</f>
        <v/>
      </c>
      <c r="J37" s="2" t="str">
        <f>IF(G37="","",VLOOKUP(G37,[1]ISO辞書!A:B,2,FALSE))</f>
        <v/>
      </c>
      <c r="K37" s="2" t="str">
        <f>IF(H37="","",VLOOKUP(H37,[1]ISO辞書!A:B,2,FALSE))</f>
        <v/>
      </c>
      <c r="L37" s="2" t="str">
        <f>IF(I37="","",VLOOKUP(I37,[1]ISO辞書!A:B,2,FALSE))</f>
        <v/>
      </c>
      <c r="M37" s="3" t="str">
        <f t="shared" si="0"/>
        <v/>
      </c>
    </row>
    <row r="38" spans="1:13">
      <c r="A38" s="2" t="str">
        <f>IF(C38="","",VLOOKUP(C38,[1]ISO辞書!A:C,2,FALSE))</f>
        <v/>
      </c>
      <c r="J38" s="2" t="str">
        <f>IF(G38="","",VLOOKUP(G38,[1]ISO辞書!A:B,2,FALSE))</f>
        <v/>
      </c>
      <c r="K38" s="2" t="str">
        <f>IF(H38="","",VLOOKUP(H38,[1]ISO辞書!A:B,2,FALSE))</f>
        <v/>
      </c>
      <c r="L38" s="2" t="str">
        <f>IF(I38="","",VLOOKUP(I38,[1]ISO辞書!A:B,2,FALSE))</f>
        <v/>
      </c>
      <c r="M38" s="3" t="str">
        <f t="shared" si="0"/>
        <v/>
      </c>
    </row>
    <row r="39" spans="1:13">
      <c r="A39" s="2" t="str">
        <f>IF(C39="","",VLOOKUP(C39,[1]ISO辞書!A:C,2,FALSE))</f>
        <v/>
      </c>
      <c r="J39" s="2" t="str">
        <f>IF(G39="","",VLOOKUP(G39,[1]ISO辞書!A:B,2,FALSE))</f>
        <v/>
      </c>
      <c r="K39" s="2" t="str">
        <f>IF(H39="","",VLOOKUP(H39,[1]ISO辞書!A:B,2,FALSE))</f>
        <v/>
      </c>
      <c r="L39" s="2" t="str">
        <f>IF(I39="","",VLOOKUP(I39,[1]ISO辞書!A:B,2,FALSE))</f>
        <v/>
      </c>
      <c r="M39" s="3" t="str">
        <f t="shared" si="0"/>
        <v/>
      </c>
    </row>
    <row r="40" spans="1:13">
      <c r="A40" s="2" t="str">
        <f>IF(C40="","",VLOOKUP(C40,[1]ISO辞書!A:C,2,FALSE))</f>
        <v/>
      </c>
      <c r="J40" s="2" t="str">
        <f>IF(G40="","",VLOOKUP(G40,[1]ISO辞書!A:B,2,FALSE))</f>
        <v/>
      </c>
      <c r="K40" s="2" t="str">
        <f>IF(H40="","",VLOOKUP(H40,[1]ISO辞書!A:B,2,FALSE))</f>
        <v/>
      </c>
      <c r="L40" s="2" t="str">
        <f>IF(I40="","",VLOOKUP(I40,[1]ISO辞書!A:B,2,FALSE))</f>
        <v/>
      </c>
      <c r="M40" s="3" t="str">
        <f t="shared" si="0"/>
        <v/>
      </c>
    </row>
    <row r="41" spans="1:13">
      <c r="A41" s="2" t="str">
        <f>IF(C41="","",VLOOKUP(C41,[1]ISO辞書!A:C,2,FALSE))</f>
        <v/>
      </c>
      <c r="J41" s="2" t="str">
        <f>IF(G41="","",VLOOKUP(G41,[1]ISO辞書!A:B,2,FALSE))</f>
        <v/>
      </c>
      <c r="K41" s="2" t="str">
        <f>IF(H41="","",VLOOKUP(H41,[1]ISO辞書!A:B,2,FALSE))</f>
        <v/>
      </c>
      <c r="L41" s="2" t="str">
        <f>IF(I41="","",VLOOKUP(I41,[1]ISO辞書!A:B,2,FALSE))</f>
        <v/>
      </c>
      <c r="M41" s="3" t="str">
        <f t="shared" si="0"/>
        <v/>
      </c>
    </row>
    <row r="42" spans="1:13">
      <c r="J42" s="2" t="str">
        <f>IF(G42="","",VLOOKUP(G42,[1]ISO辞書!A:B,2,FALSE))</f>
        <v/>
      </c>
      <c r="K42" s="2" t="str">
        <f>IF(H42="","",VLOOKUP(H42,[1]ISO辞書!A:B,2,FALSE))</f>
        <v/>
      </c>
      <c r="L42" s="2" t="str">
        <f>IF(I42="","",VLOOKUP(I42,[1]ISO辞書!A:B,2,FALSE))</f>
        <v/>
      </c>
      <c r="M42" s="3" t="str">
        <f t="shared" si="0"/>
        <v/>
      </c>
    </row>
    <row r="43" spans="1:13">
      <c r="J43" s="2" t="str">
        <f>IF(G43="","",VLOOKUP(G43,[1]ISO辞書!A:B,2,FALSE))</f>
        <v/>
      </c>
      <c r="K43" s="2" t="str">
        <f>IF(H43="","",VLOOKUP(H43,[1]ISO辞書!A:B,2,FALSE))</f>
        <v/>
      </c>
      <c r="L43" s="2" t="str">
        <f>IF(I43="","",VLOOKUP(I43,[1]ISO辞書!A:B,2,FALSE))</f>
        <v/>
      </c>
      <c r="M43" s="3" t="str">
        <f t="shared" si="0"/>
        <v/>
      </c>
    </row>
    <row r="44" spans="1:13">
      <c r="J44" s="2" t="str">
        <f>IF(G44="","",VLOOKUP(G44,[1]ISO辞書!A:B,2,FALSE))</f>
        <v/>
      </c>
      <c r="K44" s="2" t="str">
        <f>IF(H44="","",VLOOKUP(H44,[1]ISO辞書!A:B,2,FALSE))</f>
        <v/>
      </c>
      <c r="L44" s="2" t="str">
        <f>IF(I44="","",VLOOKUP(I44,[1]ISO辞書!A:B,2,FALSE))</f>
        <v/>
      </c>
      <c r="M44" s="3" t="str">
        <f t="shared" si="0"/>
        <v/>
      </c>
    </row>
    <row r="45" spans="1:13">
      <c r="J45" s="2" t="str">
        <f>IF(G45="","",VLOOKUP(G45,[1]ISO辞書!A:B,2,FALSE))</f>
        <v/>
      </c>
      <c r="K45" s="2" t="str">
        <f>IF(H45="","",VLOOKUP(H45,[1]ISO辞書!A:B,2,FALSE))</f>
        <v/>
      </c>
      <c r="L45" s="2" t="str">
        <f>IF(I45="","",VLOOKUP(I45,[1]ISO辞書!A:B,2,FALSE))</f>
        <v/>
      </c>
      <c r="M45" s="3" t="str">
        <f t="shared" si="0"/>
        <v/>
      </c>
    </row>
    <row r="46" spans="1:13">
      <c r="J46" s="2" t="str">
        <f>IF(G46="","",VLOOKUP(G46,[1]ISO辞書!A:B,2,FALSE))</f>
        <v/>
      </c>
      <c r="K46" s="2" t="str">
        <f>IF(H46="","",VLOOKUP(H46,[1]ISO辞書!A:B,2,FALSE))</f>
        <v/>
      </c>
      <c r="L46" s="2" t="str">
        <f>IF(I46="","",VLOOKUP(I46,[1]ISO辞書!A:B,2,FALSE))</f>
        <v/>
      </c>
      <c r="M46" s="3" t="str">
        <f t="shared" si="0"/>
        <v/>
      </c>
    </row>
    <row r="47" spans="1:13">
      <c r="J47" s="2" t="str">
        <f>IF(G47="","",VLOOKUP(G47,[1]ISO辞書!A:B,2,FALSE))</f>
        <v/>
      </c>
      <c r="K47" s="2" t="str">
        <f>IF(H47="","",VLOOKUP(H47,[1]ISO辞書!A:B,2,FALSE))</f>
        <v/>
      </c>
      <c r="L47" s="2" t="str">
        <f>IF(I47="","",VLOOKUP(I47,[1]ISO辞書!A:B,2,FALSE))</f>
        <v/>
      </c>
      <c r="M47" s="3" t="str">
        <f t="shared" si="0"/>
        <v/>
      </c>
    </row>
  </sheetData>
  <autoFilter ref="A1:S1" xr:uid="{11153815-6F7F-462F-8165-5CE05A98A928}">
    <sortState xmlns:xlrd2="http://schemas.microsoft.com/office/spreadsheetml/2017/richdata2" ref="A2:S48">
      <sortCondition ref="P1"/>
    </sortState>
  </autoFilter>
  <phoneticPr fontId="18"/>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C0D9A9-2050-412E-B0EC-29E3DA783345}">
          <x14:formula1>
            <xm:f>リスト!$E$2:$E$16</xm:f>
          </x14:formula1>
          <xm:sqref>O2:O66</xm:sqref>
        </x14:dataValidation>
        <x14:dataValidation type="list" allowBlank="1" showInputMessage="1" showErrorMessage="1" xr:uid="{C45C6681-8921-4A45-B927-31B4905015CB}">
          <x14:formula1>
            <xm:f>リスト!$H$2:$H$6</xm:f>
          </x14:formula1>
          <xm:sqref>S2:S49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7A00-11D3-46D7-B2E7-58E59A80DCDF}">
  <dimension ref="B2:H18"/>
  <sheetViews>
    <sheetView workbookViewId="0">
      <selection activeCell="H7" sqref="H7"/>
    </sheetView>
  </sheetViews>
  <sheetFormatPr defaultRowHeight="18"/>
  <sheetData>
    <row r="2" spans="2:8">
      <c r="B2" t="s">
        <v>26</v>
      </c>
      <c r="E2" t="s">
        <v>21</v>
      </c>
      <c r="H2">
        <v>5</v>
      </c>
    </row>
    <row r="3" spans="2:8">
      <c r="B3" t="s">
        <v>27</v>
      </c>
      <c r="E3" t="s">
        <v>19</v>
      </c>
      <c r="H3">
        <v>4</v>
      </c>
    </row>
    <row r="4" spans="2:8">
      <c r="B4" t="s">
        <v>28</v>
      </c>
      <c r="E4" t="s">
        <v>23</v>
      </c>
      <c r="H4">
        <v>3</v>
      </c>
    </row>
    <row r="5" spans="2:8">
      <c r="B5" t="s">
        <v>29</v>
      </c>
      <c r="E5" t="s">
        <v>43</v>
      </c>
      <c r="H5">
        <v>2</v>
      </c>
    </row>
    <row r="6" spans="2:8">
      <c r="B6" t="s">
        <v>30</v>
      </c>
      <c r="E6" t="s">
        <v>44</v>
      </c>
      <c r="H6">
        <v>1</v>
      </c>
    </row>
    <row r="7" spans="2:8">
      <c r="B7" t="s">
        <v>31</v>
      </c>
      <c r="E7" t="s">
        <v>45</v>
      </c>
    </row>
    <row r="8" spans="2:8">
      <c r="B8" t="s">
        <v>32</v>
      </c>
      <c r="E8" t="s">
        <v>22</v>
      </c>
    </row>
    <row r="9" spans="2:8">
      <c r="B9" t="s">
        <v>33</v>
      </c>
      <c r="E9" t="s">
        <v>46</v>
      </c>
    </row>
    <row r="10" spans="2:8">
      <c r="B10" t="s">
        <v>34</v>
      </c>
      <c r="E10" t="s">
        <v>20</v>
      </c>
    </row>
    <row r="11" spans="2:8">
      <c r="B11" t="s">
        <v>35</v>
      </c>
      <c r="E11" t="s">
        <v>47</v>
      </c>
    </row>
    <row r="12" spans="2:8">
      <c r="B12" t="s">
        <v>36</v>
      </c>
      <c r="E12" t="s">
        <v>24</v>
      </c>
    </row>
    <row r="13" spans="2:8">
      <c r="B13" t="s">
        <v>37</v>
      </c>
      <c r="E13" t="s">
        <v>48</v>
      </c>
    </row>
    <row r="14" spans="2:8">
      <c r="B14" t="s">
        <v>38</v>
      </c>
      <c r="E14" t="s">
        <v>49</v>
      </c>
    </row>
    <row r="15" spans="2:8">
      <c r="B15" t="s">
        <v>39</v>
      </c>
      <c r="E15" t="s">
        <v>50</v>
      </c>
    </row>
    <row r="16" spans="2:8">
      <c r="B16" t="s">
        <v>40</v>
      </c>
      <c r="E16" t="s">
        <v>25</v>
      </c>
    </row>
    <row r="17" spans="2:2">
      <c r="B17" t="s">
        <v>41</v>
      </c>
    </row>
    <row r="18" spans="2:2">
      <c r="B18" t="s">
        <v>42</v>
      </c>
    </row>
  </sheetData>
  <phoneticPr fontId="18"/>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events-入力用</vt:lpstr>
      <vt:lpstr>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2026-04-15T15:05:11Z</dcterms:modified>
</cp:coreProperties>
</file>