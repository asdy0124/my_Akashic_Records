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G:\world_map_project\world-map-news-app\public\data\"/>
    </mc:Choice>
  </mc:AlternateContent>
  <xr:revisionPtr revIDLastSave="0" documentId="13_ncr:1_{F9D89038-66DB-48B7-BEE6-B455DE94F638}" xr6:coauthVersionLast="47" xr6:coauthVersionMax="47" xr10:uidLastSave="{00000000-0000-0000-0000-000000000000}"/>
  <bookViews>
    <workbookView xWindow="28680" yWindow="-120" windowWidth="29040" windowHeight="15720" xr2:uid="{17EB953A-2661-4049-9616-0D3098A3DA36}"/>
  </bookViews>
  <sheets>
    <sheet name="events-入力用" sheetId="1" r:id="rId1"/>
    <sheet name="リスト"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8" i="1" l="1"/>
  <c r="K48" i="1"/>
  <c r="J48" i="1"/>
  <c r="L47" i="1"/>
  <c r="K47" i="1"/>
  <c r="J47" i="1"/>
  <c r="L46" i="1"/>
  <c r="K46" i="1"/>
  <c r="J46" i="1"/>
  <c r="L45" i="1"/>
  <c r="K45" i="1"/>
  <c r="J45" i="1"/>
  <c r="L44" i="1"/>
  <c r="K44" i="1"/>
  <c r="J44" i="1"/>
  <c r="L43" i="1"/>
  <c r="K43" i="1"/>
  <c r="J43" i="1"/>
  <c r="M43" i="1" s="1"/>
  <c r="L42" i="1"/>
  <c r="K42" i="1"/>
  <c r="J42" i="1"/>
  <c r="L41" i="1"/>
  <c r="K41" i="1"/>
  <c r="J41" i="1"/>
  <c r="L40" i="1"/>
  <c r="K40" i="1"/>
  <c r="J40" i="1"/>
  <c r="L39" i="1"/>
  <c r="K39" i="1"/>
  <c r="J39" i="1"/>
  <c r="L38" i="1"/>
  <c r="K38" i="1"/>
  <c r="J38" i="1"/>
  <c r="L37" i="1"/>
  <c r="K37" i="1"/>
  <c r="J37" i="1"/>
  <c r="L36" i="1"/>
  <c r="K36" i="1"/>
  <c r="J36" i="1"/>
  <c r="M36" i="1" s="1"/>
  <c r="L35" i="1"/>
  <c r="K35" i="1"/>
  <c r="J35" i="1"/>
  <c r="L34" i="1"/>
  <c r="K34" i="1"/>
  <c r="J34" i="1"/>
  <c r="L33" i="1"/>
  <c r="K33" i="1"/>
  <c r="J33" i="1"/>
  <c r="L32" i="1"/>
  <c r="K32" i="1"/>
  <c r="J32" i="1"/>
  <c r="L31" i="1"/>
  <c r="K31" i="1"/>
  <c r="J31" i="1"/>
  <c r="L30" i="1"/>
  <c r="K30" i="1"/>
  <c r="J30" i="1"/>
  <c r="L29" i="1"/>
  <c r="K29" i="1"/>
  <c r="J29" i="1"/>
  <c r="L28" i="1"/>
  <c r="K28" i="1"/>
  <c r="J28" i="1"/>
  <c r="L27" i="1"/>
  <c r="K27" i="1"/>
  <c r="J27" i="1"/>
  <c r="L26" i="1"/>
  <c r="K26" i="1"/>
  <c r="J26" i="1"/>
  <c r="L25" i="1"/>
  <c r="K25" i="1"/>
  <c r="J25" i="1"/>
  <c r="L24" i="1"/>
  <c r="K24" i="1"/>
  <c r="J24" i="1"/>
  <c r="L23" i="1"/>
  <c r="K23" i="1"/>
  <c r="J23" i="1"/>
  <c r="L22" i="1"/>
  <c r="K22" i="1"/>
  <c r="J22" i="1"/>
  <c r="L21" i="1"/>
  <c r="K21" i="1"/>
  <c r="J21" i="1"/>
  <c r="L20" i="1"/>
  <c r="K20" i="1"/>
  <c r="J20" i="1"/>
  <c r="M20" i="1" s="1"/>
  <c r="L19" i="1"/>
  <c r="K19" i="1"/>
  <c r="J19" i="1"/>
  <c r="L18" i="1"/>
  <c r="K18" i="1"/>
  <c r="J18" i="1"/>
  <c r="L17" i="1"/>
  <c r="K17" i="1"/>
  <c r="J17" i="1"/>
  <c r="L16" i="1"/>
  <c r="K16" i="1"/>
  <c r="J16" i="1"/>
  <c r="L15" i="1"/>
  <c r="K15" i="1"/>
  <c r="J15" i="1"/>
  <c r="L14" i="1"/>
  <c r="K14" i="1"/>
  <c r="J14" i="1"/>
  <c r="L13" i="1"/>
  <c r="K13" i="1"/>
  <c r="J13" i="1"/>
  <c r="M13" i="1" s="1"/>
  <c r="L12" i="1"/>
  <c r="K12" i="1"/>
  <c r="J12" i="1"/>
  <c r="L11" i="1"/>
  <c r="K11" i="1"/>
  <c r="J11" i="1"/>
  <c r="L10" i="1"/>
  <c r="K10" i="1"/>
  <c r="J10" i="1"/>
  <c r="L9" i="1"/>
  <c r="K9" i="1"/>
  <c r="J9" i="1"/>
  <c r="L8" i="1"/>
  <c r="K8" i="1"/>
  <c r="J8" i="1"/>
  <c r="L7" i="1"/>
  <c r="K7" i="1"/>
  <c r="J7" i="1"/>
  <c r="L6" i="1"/>
  <c r="K6" i="1"/>
  <c r="J6" i="1"/>
  <c r="L5" i="1"/>
  <c r="K5" i="1"/>
  <c r="J5" i="1"/>
  <c r="L4" i="1"/>
  <c r="K4" i="1"/>
  <c r="J4" i="1"/>
  <c r="L3" i="1"/>
  <c r="K3" i="1"/>
  <c r="J3" i="1"/>
  <c r="L2" i="1"/>
  <c r="K2" i="1"/>
  <c r="J2"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M39" i="1" l="1"/>
  <c r="M4" i="1"/>
  <c r="M12" i="1"/>
  <c r="M27" i="1"/>
  <c r="M35" i="1"/>
  <c r="M21" i="1"/>
  <c r="M29" i="1"/>
  <c r="M37" i="1"/>
  <c r="M45" i="1"/>
  <c r="M7" i="1"/>
  <c r="M15" i="1"/>
  <c r="M30" i="1"/>
  <c r="M38" i="1"/>
  <c r="M9" i="1"/>
  <c r="M24" i="1"/>
  <c r="M32" i="1"/>
  <c r="M44" i="1"/>
  <c r="M8" i="1"/>
  <c r="M16" i="1"/>
  <c r="M23" i="1"/>
  <c r="M31" i="1"/>
  <c r="M47" i="1"/>
  <c r="M48" i="1"/>
  <c r="M3" i="1"/>
  <c r="M19" i="1"/>
  <c r="M26" i="1"/>
  <c r="M42" i="1"/>
  <c r="M6" i="1"/>
  <c r="M14" i="1"/>
  <c r="M28" i="1"/>
  <c r="M22" i="1"/>
  <c r="M46" i="1"/>
  <c r="M5" i="1"/>
  <c r="M34" i="1"/>
  <c r="M17" i="1"/>
  <c r="M40" i="1"/>
  <c r="M11" i="1"/>
  <c r="M2" i="1"/>
  <c r="M10" i="1"/>
  <c r="M18" i="1"/>
  <c r="M25" i="1"/>
  <c r="M33" i="1"/>
  <c r="M41" i="1"/>
</calcChain>
</file>

<file path=xl/sharedStrings.xml><?xml version="1.0" encoding="utf-8"?>
<sst xmlns="http://schemas.openxmlformats.org/spreadsheetml/2006/main" count="235" uniqueCount="143">
  <si>
    <t>country_iso3</t>
  </si>
  <si>
    <t>country_name</t>
  </si>
  <si>
    <t>country_name_ja</t>
  </si>
  <si>
    <t>title</t>
  </si>
  <si>
    <t>summary</t>
  </si>
  <si>
    <t>detail</t>
  </si>
  <si>
    <t>関係国１</t>
  </si>
  <si>
    <t>関係国２</t>
  </si>
  <si>
    <t>関係国３</t>
  </si>
  <si>
    <t>related_country_1</t>
  </si>
  <si>
    <t>related_country_2</t>
  </si>
  <si>
    <t>related_country_3</t>
  </si>
  <si>
    <t>related_countries</t>
  </si>
  <si>
    <t>impact_summary</t>
  </si>
  <si>
    <t>category</t>
  </si>
  <si>
    <t>event_date</t>
  </si>
  <si>
    <t>source_name</t>
  </si>
  <si>
    <t>source_url</t>
  </si>
  <si>
    <t>importance</t>
  </si>
  <si>
    <t>軍事</t>
  </si>
  <si>
    <t>貿易</t>
  </si>
  <si>
    <t>外交</t>
  </si>
  <si>
    <t>紛争</t>
  </si>
  <si>
    <t>安全保障</t>
  </si>
  <si>
    <t>国内政治</t>
  </si>
  <si>
    <t>その他</t>
  </si>
  <si>
    <t>国際関係に影響</t>
  </si>
  <si>
    <t>安全保障に影響</t>
  </si>
  <si>
    <t>経済に影響</t>
  </si>
  <si>
    <t>エネルギー市場に影響</t>
  </si>
  <si>
    <t>貿易に影響</t>
  </si>
  <si>
    <t>金融市場に影響</t>
  </si>
  <si>
    <t>軍事的緊張が高まる</t>
  </si>
  <si>
    <t>外交関係が悪化</t>
  </si>
  <si>
    <t>外交関係が改善</t>
  </si>
  <si>
    <t>地域情勢が不安定化</t>
  </si>
  <si>
    <t>地域情勢が安定化</t>
  </si>
  <si>
    <t>制裁強化</t>
  </si>
  <si>
    <t>制裁緩和</t>
  </si>
  <si>
    <t>サプライチェーンに影響</t>
  </si>
  <si>
    <t>国内政治に影響</t>
  </si>
  <si>
    <t>人道問題に影響</t>
  </si>
  <si>
    <t>不明</t>
  </si>
  <si>
    <t>経済</t>
  </si>
  <si>
    <t>エネルギー</t>
  </si>
  <si>
    <t>制裁</t>
  </si>
  <si>
    <t>首脳会談</t>
  </si>
  <si>
    <t>金融</t>
  </si>
  <si>
    <t>人道</t>
  </si>
  <si>
    <t>テクノロジー</t>
  </si>
  <si>
    <t>サイバー</t>
  </si>
  <si>
    <t>Reuters</t>
    <phoneticPr fontId="18"/>
  </si>
  <si>
    <t>https://www.reuters.com/business/aerospace-defense/zelenskiy-arrives-istanbul-talks-with-erdogan-2026-04-04/</t>
  </si>
  <si>
    <t>ウクライナ</t>
    <phoneticPr fontId="18"/>
  </si>
  <si>
    <t>トルコ</t>
    <phoneticPr fontId="18"/>
  </si>
  <si>
    <t>ウクライナとトルコの首脳会談</t>
    <rPh sb="10" eb="14">
      <t>シュノウカイダン</t>
    </rPh>
    <phoneticPr fontId="18"/>
  </si>
  <si>
    <t>両国の安全保障協力の強化やエネルギー調達分野での連携を確認。</t>
    <rPh sb="0" eb="2">
      <t>リョウコク</t>
    </rPh>
    <rPh sb="3" eb="7">
      <t>アンゼンホショウ</t>
    </rPh>
    <rPh sb="10" eb="12">
      <t>キョウカ</t>
    </rPh>
    <rPh sb="18" eb="20">
      <t>チョウタツ</t>
    </rPh>
    <phoneticPr fontId="18"/>
  </si>
  <si>
    <t>国際関係</t>
    <rPh sb="0" eb="2">
      <t>コクサイ</t>
    </rPh>
    <rPh sb="2" eb="4">
      <t>カンケイ</t>
    </rPh>
    <phoneticPr fontId="18"/>
  </si>
  <si>
    <t>イタリア</t>
    <phoneticPr fontId="18"/>
  </si>
  <si>
    <t>伊メローニ首相の中東訪問</t>
    <rPh sb="0" eb="1">
      <t>イ</t>
    </rPh>
    <rPh sb="5" eb="7">
      <t>シュショウ</t>
    </rPh>
    <rPh sb="8" eb="12">
      <t>チュウトウホウモン</t>
    </rPh>
    <phoneticPr fontId="18"/>
  </si>
  <si>
    <t>サウジアラビア</t>
    <phoneticPr fontId="18"/>
  </si>
  <si>
    <t>カタール</t>
    <phoneticPr fontId="18"/>
  </si>
  <si>
    <t>UAE</t>
    <phoneticPr fontId="18"/>
  </si>
  <si>
    <t>https://www.reuters.com/world/europe/italys-meloni-flies-gulf-region-energy-security-push-2026-04-03/</t>
  </si>
  <si>
    <t>https://www.reuters.com/world/asia-pacific/south-korea-france-upgrade-ties-strategic-partnership-blue-house-says-2026-04-03/</t>
  </si>
  <si>
    <t>韓国</t>
    <rPh sb="0" eb="2">
      <t>カンコク</t>
    </rPh>
    <phoneticPr fontId="18"/>
  </si>
  <si>
    <t>フランス</t>
    <phoneticPr fontId="18"/>
  </si>
  <si>
    <t>韓国とフランスの首脳会談</t>
    <rPh sb="0" eb="2">
      <t>カンコク</t>
    </rPh>
    <rPh sb="8" eb="12">
      <t>シュノウカイダン</t>
    </rPh>
    <phoneticPr fontId="18"/>
  </si>
  <si>
    <t>防衛協力と経済エネルギー連携を確認</t>
    <rPh sb="0" eb="4">
      <t>ボウエイキョウリョク</t>
    </rPh>
    <rPh sb="5" eb="7">
      <t>ケイザイ</t>
    </rPh>
    <rPh sb="12" eb="14">
      <t>レンケイ</t>
    </rPh>
    <rPh sb="15" eb="17">
      <t>カクニン</t>
    </rPh>
    <phoneticPr fontId="18"/>
  </si>
  <si>
    <t>湾岸諸国訪問にてエネルギー供給確保と安全支援の強化を協議</t>
    <rPh sb="2" eb="4">
      <t>ショコク</t>
    </rPh>
    <phoneticPr fontId="18"/>
  </si>
  <si>
    <t>ロシア</t>
    <phoneticPr fontId="18"/>
  </si>
  <si>
    <t>紛争</t>
    <rPh sb="0" eb="2">
      <t>フンソウ</t>
    </rPh>
    <phoneticPr fontId="18"/>
  </si>
  <si>
    <t>https://www.reuters.com/world/russian-forces-maintain-day-long-drone-barrage-ukraines-kharkiv-2026-04-02/</t>
  </si>
  <si>
    <t>https://www.reuters.com/business/energy/dozens-countries-discuss-coalition-secure-passage-through-strait-hormuz-2026-04-02/</t>
  </si>
  <si>
    <t>イギリス</t>
    <phoneticPr fontId="18"/>
  </si>
  <si>
    <t>日本</t>
    <rPh sb="0" eb="2">
      <t>ニホン</t>
    </rPh>
    <phoneticPr fontId="18"/>
  </si>
  <si>
    <t>ドイツ</t>
    <phoneticPr fontId="18"/>
  </si>
  <si>
    <t>ホルムズ海峡封鎖問題に40カ国が協議</t>
    <rPh sb="4" eb="6">
      <t>カイキョウ</t>
    </rPh>
    <rPh sb="6" eb="8">
      <t>フウサ</t>
    </rPh>
    <rPh sb="8" eb="10">
      <t>モンダイ</t>
    </rPh>
    <rPh sb="14" eb="15">
      <t>コク</t>
    </rPh>
    <rPh sb="16" eb="18">
      <t>キョウギ</t>
    </rPh>
    <phoneticPr fontId="18"/>
  </si>
  <si>
    <t>40カ国がイランによるホルムズ海峡封鎖問題について連合を結成し協議</t>
    <rPh sb="17" eb="21">
      <t>フウサモンダイ</t>
    </rPh>
    <phoneticPr fontId="18"/>
  </si>
  <si>
    <t>アメリカ</t>
    <phoneticPr fontId="18"/>
  </si>
  <si>
    <t>米トランプ大統領がNATO脱退を仄めかす</t>
    <rPh sb="0" eb="1">
      <t>ベイ</t>
    </rPh>
    <rPh sb="5" eb="8">
      <t>ダイトウリョウ</t>
    </rPh>
    <rPh sb="13" eb="15">
      <t>ダッタイ</t>
    </rPh>
    <rPh sb="16" eb="17">
      <t>ホノ</t>
    </rPh>
    <phoneticPr fontId="18"/>
  </si>
  <si>
    <t>欧州の支援拒否を理由にNATO離脱を示唆、各国が強く反発</t>
    <phoneticPr fontId="18"/>
  </si>
  <si>
    <t>https://www.reuters.com/business/aerospace-defense/trump-threatens-nato-exit-scaling-up-tensions-with-allies-2026-04-01/</t>
  </si>
  <si>
    <t>https://www.reuters.com/world/serbian-students-protesters-clash-with-police-belgrade-2026-03-31/</t>
  </si>
  <si>
    <t>セルビア</t>
    <phoneticPr fontId="18"/>
  </si>
  <si>
    <t>セルビア首都での大規模抗議活動</t>
    <rPh sb="4" eb="6">
      <t>シュト</t>
    </rPh>
    <rPh sb="8" eb="13">
      <t>ダイキボコウギ</t>
    </rPh>
    <rPh sb="13" eb="15">
      <t>カツドウ</t>
    </rPh>
    <phoneticPr fontId="18"/>
  </si>
  <si>
    <t>市内で学生らがデモ中に衝突、複数負傷・数人逮捕と報告。</t>
    <phoneticPr fontId="18"/>
  </si>
  <si>
    <t>国内政治</t>
    <rPh sb="0" eb="4">
      <t>コクナイセイジ</t>
    </rPh>
    <phoneticPr fontId="18"/>
  </si>
  <si>
    <t>イラン</t>
    <phoneticPr fontId="18"/>
  </si>
  <si>
    <t>イラン政府が反体制派関係者2名を処刑と発表</t>
    <rPh sb="3" eb="5">
      <t>セイフ</t>
    </rPh>
    <rPh sb="6" eb="13">
      <t>ハンタイセイハカンケイシャ</t>
    </rPh>
    <rPh sb="14" eb="15">
      <t>メイ</t>
    </rPh>
    <rPh sb="16" eb="18">
      <t>ショケイ</t>
    </rPh>
    <rPh sb="19" eb="21">
      <t>ハッピョウ</t>
    </rPh>
    <phoneticPr fontId="18"/>
  </si>
  <si>
    <t>https://www.reuters.com/world/middle-east/iran-executes-two-linked-opposition-group-media-say-2026-04-04/</t>
  </si>
  <si>
    <t>インド</t>
    <phoneticPr fontId="18"/>
  </si>
  <si>
    <t>インドが約7年ぶりにイラン産原油を調達</t>
    <rPh sb="4" eb="5">
      <t>ヤク</t>
    </rPh>
    <rPh sb="6" eb="7">
      <t>ネン</t>
    </rPh>
    <rPh sb="13" eb="16">
      <t>サンゲンユ</t>
    </rPh>
    <rPh sb="17" eb="19">
      <t>チョウタツ</t>
    </rPh>
    <phoneticPr fontId="18"/>
  </si>
  <si>
    <t>https://www.reuters.com/business/energy/india-says-crude-oil-supplies-secured-no-payment-issues-iran-imports-2026-04-04/</t>
  </si>
  <si>
    <t>ロシアとトルコ首脳の電話会談</t>
    <rPh sb="7" eb="9">
      <t>シュノウ</t>
    </rPh>
    <rPh sb="10" eb="14">
      <t>デンワカイダン</t>
    </rPh>
    <phoneticPr fontId="18"/>
  </si>
  <si>
    <t>https://www.reuters.com/world/middle-east/putin-holds-call-with-turkeys-erdogan-discuss-middle-east-2026-04-03/</t>
  </si>
  <si>
    <t>両首脳が中東情勢を協議、地域安定へ情報共有と調整で一致を確認</t>
    <phoneticPr fontId="18"/>
  </si>
  <si>
    <t>https://www.reuters.com/business/energy/japanese-owned-lng-tanker-crosses-strait-hormuz-2026-04-03/</t>
  </si>
  <si>
    <t>オマーン</t>
    <phoneticPr fontId="18"/>
  </si>
  <si>
    <t>https://www.reuters.com/world/middle-east/israeli-military-says-strike-beirut-killed-hezbollah-southern-front-commander-2026-04-01/</t>
  </si>
  <si>
    <t>レバノン</t>
    <phoneticPr fontId="18"/>
  </si>
  <si>
    <t>イスラエル空爆でヒズボラ最高司令官が死亡</t>
    <rPh sb="5" eb="7">
      <t>クウバク</t>
    </rPh>
    <rPh sb="12" eb="14">
      <t>サイコウ</t>
    </rPh>
    <rPh sb="14" eb="17">
      <t>シレイカン</t>
    </rPh>
    <rPh sb="18" eb="20">
      <t>シボウ</t>
    </rPh>
    <phoneticPr fontId="18"/>
  </si>
  <si>
    <t>イスラエル</t>
    <phoneticPr fontId="18"/>
  </si>
  <si>
    <t>https://www.reuters.com/world/europe/syria-will-stay-out-iran-conflict-unless-it-faces-aggression-president-says-2026-03-31/</t>
  </si>
  <si>
    <t>シリア</t>
    <phoneticPr fontId="18"/>
  </si>
  <si>
    <t>シリア暫定大統領がイラン紛争不干渉を表明</t>
    <rPh sb="3" eb="8">
      <t>ザンテイダイトウリョウ</t>
    </rPh>
    <rPh sb="12" eb="14">
      <t>フンソウ</t>
    </rPh>
    <rPh sb="14" eb="17">
      <t>フカンショウ</t>
    </rPh>
    <rPh sb="18" eb="20">
      <t>ヒョウメイ</t>
    </rPh>
    <phoneticPr fontId="18"/>
  </si>
  <si>
    <t>「攻撃されない限り参戦せず」と表明、国境強化と外交重視を強調</t>
    <phoneticPr fontId="18"/>
  </si>
  <si>
    <t>アルゼンチン</t>
    <phoneticPr fontId="18"/>
  </si>
  <si>
    <t>アルゼンチンがイラン革命防衛隊をテロ組織に指定</t>
    <rPh sb="10" eb="15">
      <t>カクメイボウエイタイ</t>
    </rPh>
    <rPh sb="18" eb="20">
      <t>ソシキ</t>
    </rPh>
    <rPh sb="21" eb="23">
      <t>シテイ</t>
    </rPh>
    <phoneticPr fontId="18"/>
  </si>
  <si>
    <t>https://www.reuters.com/world/middle-east/argentina-designates-irans-irgc-terrorist-organization-aligning-with-us-2026-04-01/</t>
  </si>
  <si>
    <t>アメリカと歩調を合わせ、金融制裁適用が可能に</t>
    <rPh sb="8" eb="9">
      <t>ア</t>
    </rPh>
    <phoneticPr fontId="18"/>
  </si>
  <si>
    <t>ブルキナファソ</t>
    <phoneticPr fontId="18"/>
  </si>
  <si>
    <t>日本等カ国の船舶がホルムズ海峡を通過</t>
    <rPh sb="0" eb="2">
      <t>ニホン</t>
    </rPh>
    <rPh sb="2" eb="3">
      <t>ナド</t>
    </rPh>
    <rPh sb="4" eb="5">
      <t>コク</t>
    </rPh>
    <rPh sb="6" eb="8">
      <t>センパク</t>
    </rPh>
    <rPh sb="13" eb="15">
      <t>カイキョウ</t>
    </rPh>
    <rPh sb="16" eb="18">
      <t>ツウカ</t>
    </rPh>
    <phoneticPr fontId="18"/>
  </si>
  <si>
    <t>ロ軍がハリコフへドローン攻撃を継続</t>
    <rPh sb="1" eb="2">
      <t>グン</t>
    </rPh>
    <rPh sb="12" eb="14">
      <t>コウゲキ</t>
    </rPh>
    <rPh sb="15" eb="17">
      <t>ケイゾク</t>
    </rPh>
    <phoneticPr fontId="18"/>
  </si>
  <si>
    <t>ブルキナファソ軍による民間人犠牲増報告</t>
    <rPh sb="17" eb="19">
      <t>ホウコク</t>
    </rPh>
    <phoneticPr fontId="18"/>
  </si>
  <si>
    <t>同国とマリにて軍事政権が民間人を多数殺害と人権団体が発表</t>
    <rPh sb="0" eb="2">
      <t>ドウコク</t>
    </rPh>
    <rPh sb="7" eb="11">
      <t>グンジセイケン</t>
    </rPh>
    <rPh sb="12" eb="15">
      <t>ミンカンジン</t>
    </rPh>
    <rPh sb="16" eb="20">
      <t>タスウサツガイ</t>
    </rPh>
    <rPh sb="21" eb="25">
      <t>ジンケンダンタイ</t>
    </rPh>
    <rPh sb="26" eb="28">
      <t>ハッピョウ</t>
    </rPh>
    <phoneticPr fontId="18"/>
  </si>
  <si>
    <t>マリ</t>
    <phoneticPr fontId="18"/>
  </si>
  <si>
    <t>https://www.reuters.com/world/africa/burkina-mali-troops-kill-more-civilians-than-jihadists-do-data-shows-2026-04-02/</t>
  </si>
  <si>
    <t>エチオピア</t>
    <phoneticPr fontId="18"/>
  </si>
  <si>
    <t>中国</t>
    <rPh sb="0" eb="2">
      <t>チュウゴク</t>
    </rPh>
    <phoneticPr fontId="18"/>
  </si>
  <si>
    <t>https://www.reuters.com/world/africa/ethiopia-says-reaches-resolution-with-china-debt-treatment-2026-04-03/</t>
  </si>
  <si>
    <t>エチオピアと中国が債務問題で合意</t>
    <rPh sb="11" eb="13">
      <t>モンダイ</t>
    </rPh>
    <rPh sb="14" eb="16">
      <t>ゴウイ</t>
    </rPh>
    <phoneticPr fontId="18"/>
  </si>
  <si>
    <t>G20の共通枠組みで債務処理に両国が合意、再編と新融資も協議。</t>
    <rPh sb="15" eb="17">
      <t>リョウコク</t>
    </rPh>
    <phoneticPr fontId="18"/>
  </si>
  <si>
    <t>https://www.reuters.com/world/africa/islamic-state-linked-rebels-kill-15-eastern-congo-officials-say-2026-04-02/</t>
  </si>
  <si>
    <t>コンゴ民主共和国</t>
    <rPh sb="3" eb="8">
      <t>ミンシュキョウワコク</t>
    </rPh>
    <phoneticPr fontId="18"/>
  </si>
  <si>
    <t>DRコンゴ東部でIS系反乱が15人殺害</t>
    <rPh sb="5" eb="7">
      <t>トウブ</t>
    </rPh>
    <phoneticPr fontId="18"/>
  </si>
  <si>
    <t>アメリカがベネズエラ暫定大統領への制裁を解除</t>
    <rPh sb="10" eb="15">
      <t>ザンテイダイトウリョウ</t>
    </rPh>
    <rPh sb="17" eb="19">
      <t>セイサイ</t>
    </rPh>
    <rPh sb="20" eb="22">
      <t>カイジョ</t>
    </rPh>
    <phoneticPr fontId="18"/>
  </si>
  <si>
    <t>ベネズエラ</t>
    <phoneticPr fontId="18"/>
  </si>
  <si>
    <t>https://www.reuters.com/world/americas/us-lifts-sanctions-venezuelas-interim-president-2026-04-01/</t>
  </si>
  <si>
    <t>制裁解除で資産管理や大使館再開の道が開き、国際取引再開に弾み。</t>
    <phoneticPr fontId="18"/>
  </si>
  <si>
    <t>https://www.reuters.com/world/americas/eu-announces-further-23-million-humanitarian-aid-cuba-2026-04-01/</t>
  </si>
  <si>
    <t>欧州連合</t>
    <rPh sb="0" eb="4">
      <t>オウシュウレンゴウ</t>
    </rPh>
    <phoneticPr fontId="18"/>
  </si>
  <si>
    <t>EUがキューバへ230万ドルを人道支援として拠出</t>
    <rPh sb="11" eb="12">
      <t>マン</t>
    </rPh>
    <rPh sb="15" eb="19">
      <t>ジンドウシエン</t>
    </rPh>
    <rPh sb="22" eb="24">
      <t>キョシュツ</t>
    </rPh>
    <phoneticPr fontId="18"/>
  </si>
  <si>
    <t>キューバ</t>
    <phoneticPr fontId="18"/>
  </si>
  <si>
    <t>電力危機と物資不足を受け、食料と飲料水で最大200万人支援を実施へ。</t>
    <phoneticPr fontId="18"/>
  </si>
  <si>
    <t>https://www.reuters.com/world/china/china-moves-regulate-digital-humans-bans-addictive-services-children-2026-04-03/</t>
  </si>
  <si>
    <t>中国がデジタルヒューマンへの規制を強化</t>
    <rPh sb="17" eb="19">
      <t>キョウカ</t>
    </rPh>
    <phoneticPr fontId="18"/>
  </si>
  <si>
    <t>デジタルヒューマンへの明示表示を義務化、未成年への中毒性のあるサービス提供を禁止</t>
    <rPh sb="25" eb="28">
      <t>チュウドクセイ</t>
    </rPh>
    <phoneticPr fontId="18"/>
  </si>
  <si>
    <t>https://www.reuters.com/world/asia-pacific/new-zealand-cook-islands-sign-defence-security-declaration-2026-04-01/</t>
  </si>
  <si>
    <t>ニュージーランド</t>
    <phoneticPr fontId="18"/>
  </si>
  <si>
    <t>クック諸島</t>
    <rPh sb="3" eb="5">
      <t>ショトウ</t>
    </rPh>
    <phoneticPr fontId="18"/>
  </si>
  <si>
    <t>ニュージーランドとクック諸島が安全保障宣言に署名</t>
    <rPh sb="15" eb="19">
      <t>アンゼンホショウ</t>
    </rPh>
    <rPh sb="19" eb="21">
      <t>センゲン</t>
    </rPh>
    <rPh sb="22" eb="24">
      <t>ショメイ</t>
    </rPh>
    <phoneticPr fontId="18"/>
  </si>
  <si>
    <t>安全保障協力を深化させ、領域防衛・海上監視・災害支援で連携強化、制度的枠組みも構築へ</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</si>
</sst>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0"/>
      <color theme="1"/>
      <name val="Arial Unicode MS"/>
      <family val="2"/>
    </font>
    <font>
      <u/>
      <sz val="11"/>
      <color theme="10"/>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0" fillId="0" borderId="0" applyNumberFormat="0" applyFill="0" applyBorder="0" applyAlignment="0" applyProtection="0">
      <alignment vertical="center"/>
    </xf>
  </cellStyleXfs>
  <cellXfs count="5">
    <xf numFmtId="0" fontId="0" fillId="0" borderId="0" xfId="0">
      <alignment vertical="center"/>
    </xf>
    <xf numFmtId="14" fontId="0" fillId="0" borderId="0" xfId="0" applyNumberFormat="1">
      <alignment vertical="center"/>
    </xf>
    <xf numFmtId="0" fontId="0" fillId="33" borderId="0" xfId="0" applyFill="1">
      <alignment vertical="center"/>
    </xf>
    <xf numFmtId="0" fontId="19" fillId="33" borderId="0" xfId="0" applyFont="1" applyFill="1">
      <alignment vertical="center"/>
    </xf>
    <xf numFmtId="0" fontId="20" fillId="0" borderId="0" xfId="42">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world_map_project\world-map-news-app\public\data\ISO&#36766;&#26360;.xlsx" TargetMode="External"/><Relationship Id="rId1" Type="http://schemas.openxmlformats.org/officeDocument/2006/relationships/externalLinkPath" Target="ISO&#36766;&#2636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SO辞書"/>
    </sheetNames>
    <sheetDataSet>
      <sheetData sheetId="0">
        <row r="1">
          <cell r="A1" t="str">
            <v>A列</v>
          </cell>
          <cell r="B1" t="str">
            <v>B列</v>
          </cell>
          <cell r="C1" t="str">
            <v>C列</v>
          </cell>
        </row>
        <row r="2">
          <cell r="A2" t="str">
            <v>国名_日本語</v>
          </cell>
          <cell r="B2" t="str">
            <v>ISO3</v>
          </cell>
          <cell r="C2" t="str">
            <v>国名_英語</v>
          </cell>
        </row>
        <row r="3">
          <cell r="A3" t="str">
            <v>アフガニスタン</v>
          </cell>
          <cell r="B3" t="str">
            <v>AFG</v>
          </cell>
          <cell r="C3" t="str">
            <v>Afghanistan</v>
          </cell>
        </row>
        <row r="4">
          <cell r="A4" t="str">
            <v>オーランド諸島</v>
          </cell>
          <cell r="B4" t="str">
            <v>ALA</v>
          </cell>
          <cell r="C4" t="str">
            <v>Åland Islands</v>
          </cell>
        </row>
        <row r="5">
          <cell r="A5" t="str">
            <v>アルバニア</v>
          </cell>
          <cell r="B5" t="str">
            <v>ALB</v>
          </cell>
          <cell r="C5" t="str">
            <v>Albania</v>
          </cell>
        </row>
        <row r="6">
          <cell r="A6" t="str">
            <v>アルジェリア</v>
          </cell>
          <cell r="B6" t="str">
            <v>DZA</v>
          </cell>
          <cell r="C6" t="str">
            <v>Algeria</v>
          </cell>
        </row>
        <row r="7">
          <cell r="A7" t="str">
            <v>アメリカ領サモア</v>
          </cell>
          <cell r="B7" t="str">
            <v>ASM</v>
          </cell>
          <cell r="C7" t="str">
            <v>American Samoa</v>
          </cell>
        </row>
        <row r="8">
          <cell r="A8" t="str">
            <v>アンドラ</v>
          </cell>
          <cell r="B8" t="str">
            <v>AND</v>
          </cell>
          <cell r="C8" t="str">
            <v>Andorra</v>
          </cell>
        </row>
        <row r="9">
          <cell r="A9" t="str">
            <v>アンゴラ</v>
          </cell>
          <cell r="B9" t="str">
            <v>AGO</v>
          </cell>
          <cell r="C9" t="str">
            <v>Angola</v>
          </cell>
        </row>
        <row r="10">
          <cell r="A10" t="str">
            <v>アンギラ</v>
          </cell>
          <cell r="B10" t="str">
            <v>AIA</v>
          </cell>
          <cell r="C10" t="str">
            <v>Anguilla</v>
          </cell>
        </row>
        <row r="11">
          <cell r="A11" t="str">
            <v>南極</v>
          </cell>
          <cell r="B11" t="str">
            <v>ATA</v>
          </cell>
          <cell r="C11" t="str">
            <v>Antarctica</v>
          </cell>
        </row>
        <row r="12">
          <cell r="A12" t="str">
            <v>アンティグア・バーブーダ</v>
          </cell>
          <cell r="B12" t="str">
            <v>ATG</v>
          </cell>
          <cell r="C12" t="str">
            <v>Antigua and Barbuda</v>
          </cell>
        </row>
        <row r="13">
          <cell r="A13" t="str">
            <v>アルゼンチン</v>
          </cell>
          <cell r="B13" t="str">
            <v>ARG</v>
          </cell>
          <cell r="C13" t="str">
            <v>Argentina</v>
          </cell>
        </row>
        <row r="14">
          <cell r="A14" t="str">
            <v>アルメニア</v>
          </cell>
          <cell r="B14" t="str">
            <v>ARM</v>
          </cell>
          <cell r="C14" t="str">
            <v>Armenia</v>
          </cell>
        </row>
        <row r="15">
          <cell r="A15" t="str">
            <v>アルバ</v>
          </cell>
          <cell r="B15" t="str">
            <v>ABW</v>
          </cell>
          <cell r="C15" t="str">
            <v>Aruba</v>
          </cell>
        </row>
        <row r="16">
          <cell r="A16" t="str">
            <v>オーストラリア</v>
          </cell>
          <cell r="B16" t="str">
            <v>AUS</v>
          </cell>
          <cell r="C16" t="str">
            <v>Australia</v>
          </cell>
        </row>
        <row r="17">
          <cell r="A17" t="str">
            <v>オーストリア</v>
          </cell>
          <cell r="B17" t="str">
            <v>AUT</v>
          </cell>
          <cell r="C17" t="str">
            <v>Austria</v>
          </cell>
        </row>
        <row r="18">
          <cell r="A18" t="str">
            <v>アゼルバイジャン</v>
          </cell>
          <cell r="B18" t="str">
            <v>AZE</v>
          </cell>
          <cell r="C18" t="str">
            <v>Azerbaijan</v>
          </cell>
        </row>
        <row r="19">
          <cell r="A19" t="str">
            <v>バハマ</v>
          </cell>
          <cell r="B19" t="str">
            <v>BHS</v>
          </cell>
          <cell r="C19" t="str">
            <v>Bahamas</v>
          </cell>
        </row>
        <row r="20">
          <cell r="A20" t="str">
            <v>バーレーン</v>
          </cell>
          <cell r="B20" t="str">
            <v>BHR</v>
          </cell>
          <cell r="C20" t="str">
            <v>Bahrain</v>
          </cell>
        </row>
        <row r="21">
          <cell r="A21" t="str">
            <v>バングラデシュ</v>
          </cell>
          <cell r="B21" t="str">
            <v>BGD</v>
          </cell>
          <cell r="C21" t="str">
            <v>Bangladesh</v>
          </cell>
        </row>
        <row r="22">
          <cell r="A22" t="str">
            <v>バルバドス</v>
          </cell>
          <cell r="B22" t="str">
            <v>BRB</v>
          </cell>
          <cell r="C22" t="str">
            <v>Barbados</v>
          </cell>
        </row>
        <row r="23">
          <cell r="A23" t="str">
            <v>ベラルーシ</v>
          </cell>
          <cell r="B23" t="str">
            <v>BLR</v>
          </cell>
          <cell r="C23" t="str">
            <v>Belarus</v>
          </cell>
        </row>
        <row r="24">
          <cell r="A24" t="str">
            <v>ベルギー</v>
          </cell>
          <cell r="B24" t="str">
            <v>BEL</v>
          </cell>
          <cell r="C24" t="str">
            <v>Belgium</v>
          </cell>
        </row>
        <row r="25">
          <cell r="A25" t="str">
            <v>ベリーズ</v>
          </cell>
          <cell r="B25" t="str">
            <v>BLZ</v>
          </cell>
          <cell r="C25" t="str">
            <v>Belize</v>
          </cell>
        </row>
        <row r="26">
          <cell r="A26" t="str">
            <v>ベナン</v>
          </cell>
          <cell r="B26" t="str">
            <v>BEN</v>
          </cell>
          <cell r="C26" t="str">
            <v>Benin</v>
          </cell>
        </row>
        <row r="27">
          <cell r="A27" t="str">
            <v>バミューダ</v>
          </cell>
          <cell r="B27" t="str">
            <v>BMU</v>
          </cell>
          <cell r="C27" t="str">
            <v>Bermuda</v>
          </cell>
        </row>
        <row r="28">
          <cell r="A28" t="str">
            <v>ブータン</v>
          </cell>
          <cell r="B28" t="str">
            <v>BTN</v>
          </cell>
          <cell r="C28" t="str">
            <v>Bhutan</v>
          </cell>
        </row>
        <row r="29">
          <cell r="A29" t="str">
            <v>ボリビア</v>
          </cell>
          <cell r="B29" t="str">
            <v>BOL</v>
          </cell>
          <cell r="C29" t="str">
            <v>Bolivia</v>
          </cell>
        </row>
        <row r="30">
          <cell r="A30" t="str">
            <v>ボスニア・ヘルツェゴビナ</v>
          </cell>
          <cell r="B30" t="str">
            <v>BIH</v>
          </cell>
          <cell r="C30" t="str">
            <v>Bosnia and Herzegovina</v>
          </cell>
        </row>
        <row r="31">
          <cell r="A31" t="str">
            <v>ボツワナ</v>
          </cell>
          <cell r="B31" t="str">
            <v>BWA</v>
          </cell>
          <cell r="C31" t="str">
            <v>Botswana</v>
          </cell>
        </row>
        <row r="32">
          <cell r="A32" t="str">
            <v>ブーベ島</v>
          </cell>
          <cell r="B32" t="str">
            <v>BVT</v>
          </cell>
          <cell r="C32" t="str">
            <v>Bouvet Island</v>
          </cell>
        </row>
        <row r="33">
          <cell r="A33" t="str">
            <v>ブラジル</v>
          </cell>
          <cell r="B33" t="str">
            <v>BRA</v>
          </cell>
          <cell r="C33" t="str">
            <v>Brazil</v>
          </cell>
        </row>
        <row r="34">
          <cell r="A34" t="str">
            <v>イギリス領インド洋地域</v>
          </cell>
          <cell r="B34" t="str">
            <v>IOT</v>
          </cell>
          <cell r="C34" t="str">
            <v>British Indian Ocean Territory</v>
          </cell>
        </row>
        <row r="35">
          <cell r="A35" t="str">
            <v>ブルネイ</v>
          </cell>
          <cell r="B35" t="str">
            <v>BRN</v>
          </cell>
          <cell r="C35" t="str">
            <v>Brunei Darussalam</v>
          </cell>
        </row>
        <row r="36">
          <cell r="A36" t="str">
            <v>ブルガリア</v>
          </cell>
          <cell r="B36" t="str">
            <v>BGR</v>
          </cell>
          <cell r="C36" t="str">
            <v>Bulgaria</v>
          </cell>
        </row>
        <row r="37">
          <cell r="A37" t="str">
            <v>ブルキナファソ</v>
          </cell>
          <cell r="B37" t="str">
            <v>BFA</v>
          </cell>
          <cell r="C37" t="str">
            <v>Burkina Faso</v>
          </cell>
        </row>
        <row r="38">
          <cell r="A38" t="str">
            <v>ブルンジ</v>
          </cell>
          <cell r="B38" t="str">
            <v>BDI</v>
          </cell>
          <cell r="C38" t="str">
            <v>Burundi</v>
          </cell>
        </row>
        <row r="39">
          <cell r="A39" t="str">
            <v>カーボベルデ</v>
          </cell>
          <cell r="B39" t="str">
            <v>CPV</v>
          </cell>
          <cell r="C39" t="str">
            <v>Cabo Verde</v>
          </cell>
        </row>
        <row r="40">
          <cell r="A40" t="str">
            <v>カンボジア</v>
          </cell>
          <cell r="B40" t="str">
            <v>KHM</v>
          </cell>
          <cell r="C40" t="str">
            <v>Cambodia</v>
          </cell>
        </row>
        <row r="41">
          <cell r="A41" t="str">
            <v>カメルーン</v>
          </cell>
          <cell r="B41" t="str">
            <v>CMR</v>
          </cell>
          <cell r="C41" t="str">
            <v>Cameroon</v>
          </cell>
        </row>
        <row r="42">
          <cell r="A42" t="str">
            <v>カナダ</v>
          </cell>
          <cell r="B42" t="str">
            <v>CAN</v>
          </cell>
          <cell r="C42" t="str">
            <v>Canada</v>
          </cell>
        </row>
        <row r="43">
          <cell r="A43" t="str">
            <v>ケイマン諸島</v>
          </cell>
          <cell r="B43" t="str">
            <v>CYM</v>
          </cell>
          <cell r="C43" t="str">
            <v>Cayman Islands</v>
          </cell>
        </row>
        <row r="44">
          <cell r="A44" t="str">
            <v>中央アフリカ共和国</v>
          </cell>
          <cell r="B44" t="str">
            <v>CAF</v>
          </cell>
          <cell r="C44" t="str">
            <v>Central African Republic</v>
          </cell>
        </row>
        <row r="45">
          <cell r="A45" t="str">
            <v>チャド</v>
          </cell>
          <cell r="B45" t="str">
            <v>TCD</v>
          </cell>
          <cell r="C45" t="str">
            <v>Chad</v>
          </cell>
        </row>
        <row r="46">
          <cell r="A46" t="str">
            <v>チリ</v>
          </cell>
          <cell r="B46" t="str">
            <v>CHL</v>
          </cell>
          <cell r="C46" t="str">
            <v>Chile</v>
          </cell>
        </row>
        <row r="47">
          <cell r="A47" t="str">
            <v>中国</v>
          </cell>
          <cell r="B47" t="str">
            <v>CHN</v>
          </cell>
          <cell r="C47" t="str">
            <v>China</v>
          </cell>
        </row>
        <row r="48">
          <cell r="A48" t="str">
            <v>クリスマス島</v>
          </cell>
          <cell r="B48" t="str">
            <v>CXR</v>
          </cell>
          <cell r="C48" t="str">
            <v>Christmas Island</v>
          </cell>
        </row>
        <row r="49">
          <cell r="A49" t="str">
            <v>ココス諸島</v>
          </cell>
          <cell r="B49" t="str">
            <v>CCK</v>
          </cell>
          <cell r="C49" t="str">
            <v>Cocos (Keeling) Islands</v>
          </cell>
        </row>
        <row r="50">
          <cell r="A50" t="str">
            <v>コロンビア</v>
          </cell>
          <cell r="B50" t="str">
            <v>COL</v>
          </cell>
          <cell r="C50" t="str">
            <v>Colombia</v>
          </cell>
        </row>
        <row r="51">
          <cell r="A51" t="str">
            <v>コモロ</v>
          </cell>
          <cell r="B51" t="str">
            <v>COM</v>
          </cell>
          <cell r="C51" t="str">
            <v>Comoros</v>
          </cell>
        </row>
        <row r="52">
          <cell r="A52" t="str">
            <v>コンゴ共和国</v>
          </cell>
          <cell r="B52" t="str">
            <v>COG</v>
          </cell>
          <cell r="C52" t="str">
            <v>Congo</v>
          </cell>
        </row>
        <row r="53">
          <cell r="A53" t="str">
            <v>コンゴ民主共和国</v>
          </cell>
          <cell r="B53" t="str">
            <v>COD</v>
          </cell>
          <cell r="C53" t="str">
            <v>Democratic Republic of the Congo</v>
          </cell>
        </row>
        <row r="54">
          <cell r="A54" t="str">
            <v>クック諸島</v>
          </cell>
          <cell r="B54" t="str">
            <v>COK</v>
          </cell>
          <cell r="C54" t="str">
            <v>Cook Islands</v>
          </cell>
        </row>
        <row r="55">
          <cell r="A55" t="str">
            <v>コスタリカ</v>
          </cell>
          <cell r="B55" t="str">
            <v>CRI</v>
          </cell>
          <cell r="C55" t="str">
            <v>Costa Rica</v>
          </cell>
        </row>
        <row r="56">
          <cell r="A56" t="str">
            <v>コートジボワール</v>
          </cell>
          <cell r="B56" t="str">
            <v>CIV</v>
          </cell>
          <cell r="C56" t="str">
            <v>Côte d'Ivoire</v>
          </cell>
        </row>
        <row r="57">
          <cell r="A57" t="str">
            <v>クロアチア</v>
          </cell>
          <cell r="B57" t="str">
            <v>HRV</v>
          </cell>
          <cell r="C57" t="str">
            <v>Croatia</v>
          </cell>
        </row>
        <row r="58">
          <cell r="A58" t="str">
            <v>キューバ</v>
          </cell>
          <cell r="B58" t="str">
            <v>CUB</v>
          </cell>
          <cell r="C58" t="str">
            <v>Cuba</v>
          </cell>
        </row>
        <row r="59">
          <cell r="A59" t="str">
            <v>キュラソー</v>
          </cell>
          <cell r="B59" t="str">
            <v>CUW</v>
          </cell>
          <cell r="C59" t="str">
            <v>Curaçao</v>
          </cell>
        </row>
        <row r="60">
          <cell r="A60" t="str">
            <v>キプロス</v>
          </cell>
          <cell r="B60" t="str">
            <v>CYP</v>
          </cell>
          <cell r="C60" t="str">
            <v>Cyprus</v>
          </cell>
        </row>
        <row r="61">
          <cell r="A61" t="str">
            <v>チェコ</v>
          </cell>
          <cell r="B61" t="str">
            <v>CZE</v>
          </cell>
          <cell r="C61" t="str">
            <v>Czechia</v>
          </cell>
        </row>
        <row r="62">
          <cell r="A62" t="str">
            <v>デンマーク</v>
          </cell>
          <cell r="B62" t="str">
            <v>DNK</v>
          </cell>
          <cell r="C62" t="str">
            <v>Denmark</v>
          </cell>
        </row>
        <row r="63">
          <cell r="A63" t="str">
            <v>ジブチ</v>
          </cell>
          <cell r="B63" t="str">
            <v>DJI</v>
          </cell>
          <cell r="C63" t="str">
            <v>Djibouti</v>
          </cell>
        </row>
        <row r="64">
          <cell r="A64" t="str">
            <v>ドミニカ</v>
          </cell>
          <cell r="B64" t="str">
            <v>DMA</v>
          </cell>
          <cell r="C64" t="str">
            <v>Dominica</v>
          </cell>
        </row>
        <row r="65">
          <cell r="A65" t="str">
            <v>ドミニカ共和国</v>
          </cell>
          <cell r="B65" t="str">
            <v>DOM</v>
          </cell>
          <cell r="C65" t="str">
            <v>Dominican Republic</v>
          </cell>
        </row>
        <row r="66">
          <cell r="A66" t="str">
            <v>エクアドル</v>
          </cell>
          <cell r="B66" t="str">
            <v>ECU</v>
          </cell>
          <cell r="C66" t="str">
            <v>Ecuador</v>
          </cell>
        </row>
        <row r="67">
          <cell r="A67" t="str">
            <v>エジプト</v>
          </cell>
          <cell r="B67" t="str">
            <v>EGY</v>
          </cell>
          <cell r="C67" t="str">
            <v>Egypt</v>
          </cell>
        </row>
        <row r="68">
          <cell r="A68" t="str">
            <v>エルサルバドル</v>
          </cell>
          <cell r="B68" t="str">
            <v>SLV</v>
          </cell>
          <cell r="C68" t="str">
            <v>El Salvador</v>
          </cell>
        </row>
        <row r="69">
          <cell r="A69" t="str">
            <v>赤道ギニア</v>
          </cell>
          <cell r="B69" t="str">
            <v>GNQ</v>
          </cell>
          <cell r="C69" t="str">
            <v>Equatorial Guinea</v>
          </cell>
        </row>
        <row r="70">
          <cell r="A70" t="str">
            <v>エリトリア</v>
          </cell>
          <cell r="B70" t="str">
            <v>ERI</v>
          </cell>
          <cell r="C70" t="str">
            <v>Eritrea</v>
          </cell>
        </row>
        <row r="71">
          <cell r="A71" t="str">
            <v>エストニア</v>
          </cell>
          <cell r="B71" t="str">
            <v>EST</v>
          </cell>
          <cell r="C71" t="str">
            <v>Estonia</v>
          </cell>
        </row>
        <row r="72">
          <cell r="A72" t="str">
            <v>エスワティニ</v>
          </cell>
          <cell r="B72" t="str">
            <v>SWZ</v>
          </cell>
          <cell r="C72" t="str">
            <v>Eswatini</v>
          </cell>
        </row>
        <row r="73">
          <cell r="A73" t="str">
            <v>エチオピア</v>
          </cell>
          <cell r="B73" t="str">
            <v>ETH</v>
          </cell>
          <cell r="C73" t="str">
            <v>Ethiopia</v>
          </cell>
        </row>
        <row r="74">
          <cell r="A74" t="str">
            <v>フォークランド諸島</v>
          </cell>
          <cell r="B74" t="str">
            <v>FLK</v>
          </cell>
          <cell r="C74" t="str">
            <v>Falkland Islands (Malvinas)</v>
          </cell>
        </row>
        <row r="75">
          <cell r="A75" t="str">
            <v>フェロー諸島</v>
          </cell>
          <cell r="B75" t="str">
            <v>FRO</v>
          </cell>
          <cell r="C75" t="str">
            <v>Faroe Islands</v>
          </cell>
        </row>
        <row r="76">
          <cell r="A76" t="str">
            <v>フィジー</v>
          </cell>
          <cell r="B76" t="str">
            <v>FJI</v>
          </cell>
          <cell r="C76" t="str">
            <v>Fiji</v>
          </cell>
        </row>
        <row r="77">
          <cell r="A77" t="str">
            <v>フィンランド</v>
          </cell>
          <cell r="B77" t="str">
            <v>FIN</v>
          </cell>
          <cell r="C77" t="str">
            <v>Finland</v>
          </cell>
        </row>
        <row r="78">
          <cell r="A78" t="str">
            <v>フランス</v>
          </cell>
          <cell r="B78" t="str">
            <v>FRA</v>
          </cell>
          <cell r="C78" t="str">
            <v>France</v>
          </cell>
        </row>
        <row r="79">
          <cell r="A79" t="str">
            <v>フランス領ギアナ</v>
          </cell>
          <cell r="B79" t="str">
            <v>GUF</v>
          </cell>
          <cell r="C79" t="str">
            <v>French Guiana</v>
          </cell>
        </row>
        <row r="80">
          <cell r="A80" t="str">
            <v>フランス領ポリネシア</v>
          </cell>
          <cell r="B80" t="str">
            <v>PYF</v>
          </cell>
          <cell r="C80" t="str">
            <v>French Polynesia</v>
          </cell>
        </row>
        <row r="81">
          <cell r="A81" t="str">
            <v>ガボン</v>
          </cell>
          <cell r="B81" t="str">
            <v>GAB</v>
          </cell>
          <cell r="C81" t="str">
            <v>Gabon</v>
          </cell>
        </row>
        <row r="82">
          <cell r="A82" t="str">
            <v>ガンビア</v>
          </cell>
          <cell r="B82" t="str">
            <v>GMB</v>
          </cell>
          <cell r="C82" t="str">
            <v>Gambia</v>
          </cell>
        </row>
        <row r="83">
          <cell r="A83" t="str">
            <v>ジョージア</v>
          </cell>
          <cell r="B83" t="str">
            <v>GEO</v>
          </cell>
          <cell r="C83" t="str">
            <v>Georgia</v>
          </cell>
        </row>
        <row r="84">
          <cell r="A84" t="str">
            <v>ドイツ</v>
          </cell>
          <cell r="B84" t="str">
            <v>DEU</v>
          </cell>
          <cell r="C84" t="str">
            <v>Germany</v>
          </cell>
        </row>
        <row r="85">
          <cell r="A85" t="str">
            <v>ガーナ</v>
          </cell>
          <cell r="B85" t="str">
            <v>GHA</v>
          </cell>
          <cell r="C85" t="str">
            <v>Ghana</v>
          </cell>
        </row>
        <row r="86">
          <cell r="A86" t="str">
            <v>ジブラルタル</v>
          </cell>
          <cell r="B86" t="str">
            <v>GIB</v>
          </cell>
          <cell r="C86" t="str">
            <v>Gibraltar</v>
          </cell>
        </row>
        <row r="87">
          <cell r="A87" t="str">
            <v>ギリシャ</v>
          </cell>
          <cell r="B87" t="str">
            <v>GRC</v>
          </cell>
          <cell r="C87" t="str">
            <v>Greece</v>
          </cell>
        </row>
        <row r="88">
          <cell r="A88" t="str">
            <v>グリーンランド</v>
          </cell>
          <cell r="B88" t="str">
            <v>GRL</v>
          </cell>
          <cell r="C88" t="str">
            <v>Greenland</v>
          </cell>
        </row>
        <row r="89">
          <cell r="A89" t="str">
            <v>グレナダ</v>
          </cell>
          <cell r="B89" t="str">
            <v>GRD</v>
          </cell>
          <cell r="C89" t="str">
            <v>Grenada</v>
          </cell>
        </row>
        <row r="90">
          <cell r="A90" t="str">
            <v>グアドループ</v>
          </cell>
          <cell r="B90" t="str">
            <v>GLP</v>
          </cell>
          <cell r="C90" t="str">
            <v>Guadeloupe</v>
          </cell>
        </row>
        <row r="91">
          <cell r="A91" t="str">
            <v>グアム</v>
          </cell>
          <cell r="B91" t="str">
            <v>GUM</v>
          </cell>
          <cell r="C91" t="str">
            <v>Guam</v>
          </cell>
        </row>
        <row r="92">
          <cell r="A92" t="str">
            <v>グアテマラ</v>
          </cell>
          <cell r="B92" t="str">
            <v>GTM</v>
          </cell>
          <cell r="C92" t="str">
            <v>Guatemala</v>
          </cell>
        </row>
        <row r="93">
          <cell r="A93" t="str">
            <v>ガーンジー</v>
          </cell>
          <cell r="B93" t="str">
            <v>GGY</v>
          </cell>
          <cell r="C93" t="str">
            <v>Guernsey</v>
          </cell>
        </row>
        <row r="94">
          <cell r="A94" t="str">
            <v>ギニア</v>
          </cell>
          <cell r="B94" t="str">
            <v>GIN</v>
          </cell>
          <cell r="C94" t="str">
            <v>Guinea</v>
          </cell>
        </row>
        <row r="95">
          <cell r="A95" t="str">
            <v>ギニアビサウ</v>
          </cell>
          <cell r="B95" t="str">
            <v>GNB</v>
          </cell>
          <cell r="C95" t="str">
            <v>Guinea-Bissau</v>
          </cell>
        </row>
        <row r="96">
          <cell r="A96" t="str">
            <v>ガイアナ</v>
          </cell>
          <cell r="B96" t="str">
            <v>GUY</v>
          </cell>
          <cell r="C96" t="str">
            <v>Guyana</v>
          </cell>
        </row>
        <row r="97">
          <cell r="A97" t="str">
            <v>ハイチ</v>
          </cell>
          <cell r="B97" t="str">
            <v>HTI</v>
          </cell>
          <cell r="C97" t="str">
            <v>Haiti</v>
          </cell>
        </row>
        <row r="98">
          <cell r="A98" t="str">
            <v>ハード島とマクドナルド諸島</v>
          </cell>
          <cell r="B98" t="str">
            <v>HMD</v>
          </cell>
          <cell r="C98" t="str">
            <v>Heard Island and McDonald Islands</v>
          </cell>
        </row>
        <row r="99">
          <cell r="A99" t="str">
            <v>バチカン</v>
          </cell>
          <cell r="B99" t="str">
            <v>HOLY</v>
          </cell>
          <cell r="C99" t="str">
            <v>Holy See</v>
          </cell>
        </row>
        <row r="100">
          <cell r="A100" t="str">
            <v>ホンジュラス</v>
          </cell>
          <cell r="B100" t="str">
            <v>HND</v>
          </cell>
          <cell r="C100" t="str">
            <v>Honduras</v>
          </cell>
        </row>
        <row r="101">
          <cell r="A101" t="str">
            <v>香港</v>
          </cell>
          <cell r="B101" t="str">
            <v>HKG</v>
          </cell>
          <cell r="C101" t="str">
            <v>Hong Kong</v>
          </cell>
        </row>
        <row r="102">
          <cell r="A102" t="str">
            <v>ハンガリー</v>
          </cell>
          <cell r="B102" t="str">
            <v>HUN</v>
          </cell>
          <cell r="C102" t="str">
            <v>Hungary</v>
          </cell>
        </row>
        <row r="103">
          <cell r="A103" t="str">
            <v>アイスランド</v>
          </cell>
          <cell r="B103" t="str">
            <v>ISL</v>
          </cell>
          <cell r="C103" t="str">
            <v>Iceland</v>
          </cell>
        </row>
        <row r="104">
          <cell r="A104" t="str">
            <v>インド</v>
          </cell>
          <cell r="B104" t="str">
            <v>IND</v>
          </cell>
          <cell r="C104" t="str">
            <v>India</v>
          </cell>
        </row>
        <row r="105">
          <cell r="A105" t="str">
            <v>インドネシア</v>
          </cell>
          <cell r="B105" t="str">
            <v>IDN</v>
          </cell>
          <cell r="C105" t="str">
            <v>Indonesia</v>
          </cell>
        </row>
        <row r="106">
          <cell r="A106" t="str">
            <v>イラン</v>
          </cell>
          <cell r="B106" t="str">
            <v>IRN</v>
          </cell>
          <cell r="C106" t="str">
            <v>Iran</v>
          </cell>
        </row>
        <row r="107">
          <cell r="A107" t="str">
            <v>イラク</v>
          </cell>
          <cell r="B107" t="str">
            <v>IRQ</v>
          </cell>
          <cell r="C107" t="str">
            <v>Iraq</v>
          </cell>
        </row>
        <row r="108">
          <cell r="A108" t="str">
            <v>アイルランド</v>
          </cell>
          <cell r="B108" t="str">
            <v>IRL</v>
          </cell>
          <cell r="C108" t="str">
            <v>Ireland</v>
          </cell>
        </row>
        <row r="109">
          <cell r="A109" t="str">
            <v>マン島</v>
          </cell>
          <cell r="B109" t="str">
            <v>IMN</v>
          </cell>
          <cell r="C109" t="str">
            <v>Isle of Man</v>
          </cell>
        </row>
        <row r="110">
          <cell r="A110" t="str">
            <v>イスラエル</v>
          </cell>
          <cell r="B110" t="str">
            <v>ISR</v>
          </cell>
          <cell r="C110" t="str">
            <v>Israel</v>
          </cell>
        </row>
        <row r="111">
          <cell r="A111" t="str">
            <v>イタリア</v>
          </cell>
          <cell r="B111" t="str">
            <v>ITA</v>
          </cell>
          <cell r="C111" t="str">
            <v>Italy</v>
          </cell>
        </row>
        <row r="112">
          <cell r="A112" t="str">
            <v>ジャマイカ</v>
          </cell>
          <cell r="B112" t="str">
            <v>JAM</v>
          </cell>
          <cell r="C112" t="str">
            <v>Jamaica</v>
          </cell>
        </row>
        <row r="113">
          <cell r="A113" t="str">
            <v>日本</v>
          </cell>
          <cell r="B113" t="str">
            <v>JPN</v>
          </cell>
          <cell r="C113" t="str">
            <v>Japan</v>
          </cell>
        </row>
        <row r="114">
          <cell r="A114" t="str">
            <v>ジャージー</v>
          </cell>
          <cell r="B114" t="str">
            <v>JEY</v>
          </cell>
          <cell r="C114" t="str">
            <v>Jersey</v>
          </cell>
        </row>
        <row r="115">
          <cell r="A115" t="str">
            <v>ヨルダン</v>
          </cell>
          <cell r="B115" t="str">
            <v>JOR</v>
          </cell>
          <cell r="C115" t="str">
            <v>Jordan</v>
          </cell>
        </row>
        <row r="116">
          <cell r="A116" t="str">
            <v>カザフスタン</v>
          </cell>
          <cell r="B116" t="str">
            <v>KAZ</v>
          </cell>
          <cell r="C116" t="str">
            <v>Kazakhstan</v>
          </cell>
        </row>
        <row r="117">
          <cell r="A117" t="str">
            <v>ケニア</v>
          </cell>
          <cell r="B117" t="str">
            <v>KEN</v>
          </cell>
          <cell r="C117" t="str">
            <v>Kenya</v>
          </cell>
        </row>
        <row r="118">
          <cell r="A118" t="str">
            <v>キリバス</v>
          </cell>
          <cell r="B118" t="str">
            <v>KIR</v>
          </cell>
          <cell r="C118" t="str">
            <v>Kiribati</v>
          </cell>
        </row>
        <row r="119">
          <cell r="A119" t="str">
            <v>北朝鮮</v>
          </cell>
          <cell r="B119" t="str">
            <v>PRK</v>
          </cell>
          <cell r="C119" t="str">
            <v>North Korea</v>
          </cell>
        </row>
        <row r="120">
          <cell r="A120" t="str">
            <v>韓国</v>
          </cell>
          <cell r="B120" t="str">
            <v>KOR</v>
          </cell>
          <cell r="C120" t="str">
            <v>Korea</v>
          </cell>
        </row>
        <row r="121">
          <cell r="A121" t="str">
            <v>クウェート</v>
          </cell>
          <cell r="B121" t="str">
            <v>KWT</v>
          </cell>
          <cell r="C121" t="str">
            <v>Kuwait</v>
          </cell>
        </row>
        <row r="122">
          <cell r="A122" t="str">
            <v>キルギス</v>
          </cell>
          <cell r="B122" t="str">
            <v>KGZ</v>
          </cell>
          <cell r="C122" t="str">
            <v>Kyrgyzstan</v>
          </cell>
        </row>
        <row r="123">
          <cell r="A123" t="str">
            <v>ラオス</v>
          </cell>
          <cell r="B123" t="str">
            <v>LAO</v>
          </cell>
          <cell r="C123" t="str">
            <v>Lao People's Democratic Republic</v>
          </cell>
        </row>
        <row r="124">
          <cell r="A124" t="str">
            <v>ラトビア</v>
          </cell>
          <cell r="B124" t="str">
            <v>LVA</v>
          </cell>
          <cell r="C124" t="str">
            <v>Latvia</v>
          </cell>
        </row>
        <row r="125">
          <cell r="A125" t="str">
            <v>レバノン</v>
          </cell>
          <cell r="B125" t="str">
            <v>LBN</v>
          </cell>
          <cell r="C125" t="str">
            <v>Lebanon</v>
          </cell>
        </row>
        <row r="126">
          <cell r="A126" t="str">
            <v>レソト</v>
          </cell>
          <cell r="B126" t="str">
            <v>LSO</v>
          </cell>
          <cell r="C126" t="str">
            <v>Lesotho</v>
          </cell>
        </row>
        <row r="127">
          <cell r="A127" t="str">
            <v>リベリア</v>
          </cell>
          <cell r="B127" t="str">
            <v>LBR</v>
          </cell>
          <cell r="C127" t="str">
            <v>Liberia</v>
          </cell>
        </row>
        <row r="128">
          <cell r="A128" t="str">
            <v>リビア</v>
          </cell>
          <cell r="B128" t="str">
            <v>LBY</v>
          </cell>
          <cell r="C128" t="str">
            <v>Libya</v>
          </cell>
        </row>
        <row r="129">
          <cell r="A129" t="str">
            <v>リヒテンシュタイン</v>
          </cell>
          <cell r="B129" t="str">
            <v>LIE</v>
          </cell>
          <cell r="C129" t="str">
            <v>Liechtenstein</v>
          </cell>
        </row>
        <row r="130">
          <cell r="A130" t="str">
            <v>リトアニア</v>
          </cell>
          <cell r="B130" t="str">
            <v>LTU</v>
          </cell>
          <cell r="C130" t="str">
            <v>Lithuania</v>
          </cell>
        </row>
        <row r="131">
          <cell r="A131" t="str">
            <v>ルクセンブルク</v>
          </cell>
          <cell r="B131" t="str">
            <v>LUX</v>
          </cell>
          <cell r="C131" t="str">
            <v>Luxembourg</v>
          </cell>
        </row>
        <row r="132">
          <cell r="A132" t="str">
            <v>マカオ</v>
          </cell>
          <cell r="B132" t="str">
            <v>MAC</v>
          </cell>
          <cell r="C132" t="str">
            <v>Macao</v>
          </cell>
        </row>
        <row r="133">
          <cell r="A133" t="str">
            <v>マダガスカル</v>
          </cell>
          <cell r="B133" t="str">
            <v>MDG</v>
          </cell>
          <cell r="C133" t="str">
            <v>Madagascar</v>
          </cell>
        </row>
        <row r="134">
          <cell r="A134" t="str">
            <v>マラウイ</v>
          </cell>
          <cell r="B134" t="str">
            <v>MWI</v>
          </cell>
          <cell r="C134" t="str">
            <v>Malawi</v>
          </cell>
        </row>
        <row r="135">
          <cell r="A135" t="str">
            <v>マレーシア</v>
          </cell>
          <cell r="B135" t="str">
            <v>MYS</v>
          </cell>
          <cell r="C135" t="str">
            <v>Malaysia</v>
          </cell>
        </row>
        <row r="136">
          <cell r="A136" t="str">
            <v>モルディブ</v>
          </cell>
          <cell r="B136" t="str">
            <v>MDV</v>
          </cell>
          <cell r="C136" t="str">
            <v>Maldives</v>
          </cell>
        </row>
        <row r="137">
          <cell r="A137" t="str">
            <v>マリ</v>
          </cell>
          <cell r="B137" t="str">
            <v>MLI</v>
          </cell>
          <cell r="C137" t="str">
            <v>Mali</v>
          </cell>
        </row>
        <row r="138">
          <cell r="A138" t="str">
            <v>マルタ</v>
          </cell>
          <cell r="B138" t="str">
            <v>MLT</v>
          </cell>
          <cell r="C138" t="str">
            <v>Malta</v>
          </cell>
        </row>
        <row r="139">
          <cell r="A139" t="str">
            <v>マーシャル諸島</v>
          </cell>
          <cell r="B139" t="str">
            <v>MHL</v>
          </cell>
          <cell r="C139" t="str">
            <v>Marshall Islands</v>
          </cell>
        </row>
        <row r="140">
          <cell r="A140" t="str">
            <v>マルティニーク</v>
          </cell>
          <cell r="B140" t="str">
            <v>MTQ</v>
          </cell>
          <cell r="C140" t="str">
            <v>Martinique</v>
          </cell>
        </row>
        <row r="141">
          <cell r="A141" t="str">
            <v>モーリタニア</v>
          </cell>
          <cell r="B141" t="str">
            <v>MRT</v>
          </cell>
          <cell r="C141" t="str">
            <v>Mauritania</v>
          </cell>
        </row>
        <row r="142">
          <cell r="A142" t="str">
            <v>モーリシャス</v>
          </cell>
          <cell r="B142" t="str">
            <v>MUS</v>
          </cell>
          <cell r="C142" t="str">
            <v>Mauritius</v>
          </cell>
        </row>
        <row r="143">
          <cell r="A143" t="str">
            <v>マヨット</v>
          </cell>
          <cell r="B143" t="str">
            <v>MYT</v>
          </cell>
          <cell r="C143" t="str">
            <v>Mayotte</v>
          </cell>
        </row>
        <row r="144">
          <cell r="A144" t="str">
            <v>メキシコ</v>
          </cell>
          <cell r="B144" t="str">
            <v>MEX</v>
          </cell>
          <cell r="C144" t="str">
            <v>Mexico</v>
          </cell>
        </row>
        <row r="145">
          <cell r="A145" t="str">
            <v>ミクロネシア連邦</v>
          </cell>
          <cell r="B145" t="str">
            <v>FSM</v>
          </cell>
          <cell r="C145" t="str">
            <v>Micronesia</v>
          </cell>
        </row>
        <row r="146">
          <cell r="A146" t="str">
            <v>モルドバ</v>
          </cell>
          <cell r="B146" t="str">
            <v>MDA</v>
          </cell>
          <cell r="C146" t="str">
            <v>Moldova</v>
          </cell>
        </row>
        <row r="147">
          <cell r="A147" t="str">
            <v>モナコ</v>
          </cell>
          <cell r="B147" t="str">
            <v>MCO</v>
          </cell>
          <cell r="C147" t="str">
            <v>Monaco</v>
          </cell>
        </row>
        <row r="148">
          <cell r="A148" t="str">
            <v>モンゴル</v>
          </cell>
          <cell r="B148" t="str">
            <v>MNG</v>
          </cell>
          <cell r="C148" t="str">
            <v>Mongolia</v>
          </cell>
        </row>
        <row r="149">
          <cell r="A149" t="str">
            <v>モンテネグロ</v>
          </cell>
          <cell r="B149" t="str">
            <v>MNE</v>
          </cell>
          <cell r="C149" t="str">
            <v>Montenegro</v>
          </cell>
        </row>
        <row r="150">
          <cell r="A150" t="str">
            <v>モントセラト</v>
          </cell>
          <cell r="B150" t="str">
            <v>MSR</v>
          </cell>
          <cell r="C150" t="str">
            <v>Montserrat</v>
          </cell>
        </row>
        <row r="151">
          <cell r="A151" t="str">
            <v>モロッコ</v>
          </cell>
          <cell r="B151" t="str">
            <v>MAR</v>
          </cell>
          <cell r="C151" t="str">
            <v>Morocco</v>
          </cell>
        </row>
        <row r="152">
          <cell r="A152" t="str">
            <v>モザンビーク</v>
          </cell>
          <cell r="B152" t="str">
            <v>MOZ</v>
          </cell>
          <cell r="C152" t="str">
            <v>Mozambique</v>
          </cell>
        </row>
        <row r="153">
          <cell r="A153" t="str">
            <v>ミャンマー</v>
          </cell>
          <cell r="B153" t="str">
            <v>MMR</v>
          </cell>
          <cell r="C153" t="str">
            <v>Myanmar</v>
          </cell>
        </row>
        <row r="154">
          <cell r="A154" t="str">
            <v>ナミビア</v>
          </cell>
          <cell r="B154" t="str">
            <v>NAM</v>
          </cell>
          <cell r="C154" t="str">
            <v>Namibia</v>
          </cell>
        </row>
        <row r="155">
          <cell r="A155" t="str">
            <v>ナウル</v>
          </cell>
          <cell r="B155" t="str">
            <v>NRU</v>
          </cell>
          <cell r="C155" t="str">
            <v>Nauru</v>
          </cell>
        </row>
        <row r="156">
          <cell r="A156" t="str">
            <v>ネパール</v>
          </cell>
          <cell r="B156" t="str">
            <v>NPL</v>
          </cell>
          <cell r="C156" t="str">
            <v>Nepal</v>
          </cell>
        </row>
        <row r="157">
          <cell r="A157" t="str">
            <v>オランダ</v>
          </cell>
          <cell r="B157" t="str">
            <v>NLD</v>
          </cell>
          <cell r="C157" t="str">
            <v>Netherlands</v>
          </cell>
        </row>
        <row r="158">
          <cell r="A158" t="str">
            <v>ニューカレドニア</v>
          </cell>
          <cell r="B158" t="str">
            <v>NCL</v>
          </cell>
          <cell r="C158" t="str">
            <v>New Caledonia</v>
          </cell>
        </row>
        <row r="159">
          <cell r="A159" t="str">
            <v>ニュージーランド</v>
          </cell>
          <cell r="B159" t="str">
            <v>NZL</v>
          </cell>
          <cell r="C159" t="str">
            <v>New Zealand</v>
          </cell>
        </row>
        <row r="160">
          <cell r="A160" t="str">
            <v>ニカラグア</v>
          </cell>
          <cell r="B160" t="str">
            <v>NIC</v>
          </cell>
          <cell r="C160" t="str">
            <v>Nicaragua</v>
          </cell>
        </row>
        <row r="161">
          <cell r="A161" t="str">
            <v>ニジェール</v>
          </cell>
          <cell r="B161" t="str">
            <v>NER</v>
          </cell>
          <cell r="C161" t="str">
            <v>Niger</v>
          </cell>
        </row>
        <row r="162">
          <cell r="A162" t="str">
            <v>ナイジェリア</v>
          </cell>
          <cell r="B162" t="str">
            <v>NGA</v>
          </cell>
          <cell r="C162" t="str">
            <v>Nigeria</v>
          </cell>
        </row>
        <row r="163">
          <cell r="A163" t="str">
            <v>ニウエ</v>
          </cell>
          <cell r="B163" t="str">
            <v>NIU</v>
          </cell>
          <cell r="C163" t="str">
            <v>Niue</v>
          </cell>
        </row>
        <row r="164">
          <cell r="A164" t="str">
            <v>ノーフォーク島</v>
          </cell>
          <cell r="B164" t="str">
            <v>NFK</v>
          </cell>
          <cell r="C164" t="str">
            <v>Norfolk Island</v>
          </cell>
        </row>
        <row r="165">
          <cell r="A165" t="str">
            <v>北マケドニア</v>
          </cell>
          <cell r="B165" t="str">
            <v>MKD</v>
          </cell>
          <cell r="C165" t="str">
            <v>North Macedonia</v>
          </cell>
        </row>
        <row r="166">
          <cell r="A166" t="str">
            <v>北マリアナ諸島</v>
          </cell>
          <cell r="B166" t="str">
            <v>MNP</v>
          </cell>
          <cell r="C166" t="str">
            <v>Northern Mariana Islands</v>
          </cell>
        </row>
        <row r="167">
          <cell r="A167" t="str">
            <v>ノルウェー</v>
          </cell>
          <cell r="B167" t="str">
            <v>NOR</v>
          </cell>
          <cell r="C167" t="str">
            <v>Norway</v>
          </cell>
        </row>
        <row r="168">
          <cell r="A168" t="str">
            <v>オマーン</v>
          </cell>
          <cell r="B168" t="str">
            <v>OMN</v>
          </cell>
          <cell r="C168" t="str">
            <v>Oman</v>
          </cell>
        </row>
        <row r="169">
          <cell r="A169" t="str">
            <v>パキスタン</v>
          </cell>
          <cell r="B169" t="str">
            <v>PAK</v>
          </cell>
          <cell r="C169" t="str">
            <v>Pakistan</v>
          </cell>
        </row>
        <row r="170">
          <cell r="A170" t="str">
            <v>パラオ</v>
          </cell>
          <cell r="B170" t="str">
            <v>PLW</v>
          </cell>
          <cell r="C170" t="str">
            <v>Palau</v>
          </cell>
        </row>
        <row r="171">
          <cell r="A171" t="str">
            <v>パレスチナ</v>
          </cell>
          <cell r="B171" t="str">
            <v>PSE</v>
          </cell>
          <cell r="C171" t="str">
            <v>Palestine</v>
          </cell>
        </row>
        <row r="172">
          <cell r="A172" t="str">
            <v>パナマ</v>
          </cell>
          <cell r="B172" t="str">
            <v>PAN</v>
          </cell>
          <cell r="C172" t="str">
            <v>Panama</v>
          </cell>
        </row>
        <row r="173">
          <cell r="A173" t="str">
            <v>パプアニューギニア</v>
          </cell>
          <cell r="B173" t="str">
            <v>PNG</v>
          </cell>
          <cell r="C173" t="str">
            <v>Papua New Guinea</v>
          </cell>
        </row>
        <row r="174">
          <cell r="A174" t="str">
            <v>パラグアイ</v>
          </cell>
          <cell r="B174" t="str">
            <v>PRY</v>
          </cell>
          <cell r="C174" t="str">
            <v>Paraguay</v>
          </cell>
        </row>
        <row r="175">
          <cell r="A175" t="str">
            <v>ペルー</v>
          </cell>
          <cell r="B175" t="str">
            <v>PER</v>
          </cell>
          <cell r="C175" t="str">
            <v>Peru</v>
          </cell>
        </row>
        <row r="176">
          <cell r="A176" t="str">
            <v>フィリピン</v>
          </cell>
          <cell r="B176" t="str">
            <v>PHL</v>
          </cell>
          <cell r="C176" t="str">
            <v>Philippines</v>
          </cell>
        </row>
        <row r="177">
          <cell r="A177" t="str">
            <v>ピトケアン諸島</v>
          </cell>
          <cell r="B177" t="str">
            <v>PCN</v>
          </cell>
          <cell r="C177" t="str">
            <v>Pitcairn</v>
          </cell>
        </row>
        <row r="178">
          <cell r="A178" t="str">
            <v>ポーランド</v>
          </cell>
          <cell r="B178" t="str">
            <v>POL</v>
          </cell>
          <cell r="C178" t="str">
            <v>Poland</v>
          </cell>
        </row>
        <row r="179">
          <cell r="A179" t="str">
            <v>ポルトガル</v>
          </cell>
          <cell r="B179" t="str">
            <v>PRT</v>
          </cell>
          <cell r="C179" t="str">
            <v>Portugal</v>
          </cell>
        </row>
        <row r="180">
          <cell r="A180" t="str">
            <v>プエルトリコ</v>
          </cell>
          <cell r="B180" t="str">
            <v>PRI</v>
          </cell>
          <cell r="C180" t="str">
            <v>Puerto Rico</v>
          </cell>
        </row>
        <row r="181">
          <cell r="A181" t="str">
            <v>カタール</v>
          </cell>
          <cell r="B181" t="str">
            <v>QAT</v>
          </cell>
          <cell r="C181" t="str">
            <v>Qatar</v>
          </cell>
        </row>
        <row r="182">
          <cell r="A182" t="str">
            <v>レユニオン</v>
          </cell>
          <cell r="B182" t="str">
            <v>REU</v>
          </cell>
          <cell r="C182" t="str">
            <v>Réunion</v>
          </cell>
        </row>
        <row r="183">
          <cell r="A183" t="str">
            <v>ルーマニア</v>
          </cell>
          <cell r="B183" t="str">
            <v>ROU</v>
          </cell>
          <cell r="C183" t="str">
            <v>Romania</v>
          </cell>
        </row>
        <row r="184">
          <cell r="A184" t="str">
            <v>ロシア</v>
          </cell>
          <cell r="B184" t="str">
            <v>RUS</v>
          </cell>
          <cell r="C184" t="str">
            <v>Russian Federation</v>
          </cell>
        </row>
        <row r="185">
          <cell r="A185" t="str">
            <v>ルワンダ</v>
          </cell>
          <cell r="B185" t="str">
            <v>RWA</v>
          </cell>
          <cell r="C185" t="str">
            <v>Rwanda</v>
          </cell>
        </row>
        <row r="186">
          <cell r="A186" t="str">
            <v>サン・バルテルミー</v>
          </cell>
          <cell r="B186" t="str">
            <v>BLM</v>
          </cell>
          <cell r="C186" t="str">
            <v>Saint Barthélemy</v>
          </cell>
        </row>
        <row r="187">
          <cell r="A187" t="str">
            <v>セントヘレナ・アセンションおよびトリスタンダクーニャ</v>
          </cell>
          <cell r="B187" t="str">
            <v>SHN</v>
          </cell>
          <cell r="C187" t="str">
            <v>Saint Helena</v>
          </cell>
        </row>
        <row r="188">
          <cell r="A188" t="str">
            <v>セントクリストファー・ネーヴィス</v>
          </cell>
          <cell r="B188" t="str">
            <v>KNA</v>
          </cell>
          <cell r="C188" t="str">
            <v>Saint Kitts and Nevis</v>
          </cell>
        </row>
        <row r="189">
          <cell r="A189" t="str">
            <v>セントルシア</v>
          </cell>
          <cell r="B189" t="str">
            <v>LCA</v>
          </cell>
          <cell r="C189" t="str">
            <v>Saint Lucia</v>
          </cell>
        </row>
        <row r="190">
          <cell r="A190" t="str">
            <v>サン・マルタン（フランス領）</v>
          </cell>
          <cell r="B190" t="str">
            <v>MAF</v>
          </cell>
          <cell r="C190" t="str">
            <v>Saint Martin (French part)</v>
          </cell>
        </row>
        <row r="191">
          <cell r="A191" t="str">
            <v>サンピエール島・ミクロン島</v>
          </cell>
          <cell r="B191" t="str">
            <v>SPM</v>
          </cell>
          <cell r="C191" t="str">
            <v>Saint Pierre and Miquelon</v>
          </cell>
        </row>
        <row r="192">
          <cell r="A192" t="str">
            <v>セントビンセントおよびグレナディーン諸島</v>
          </cell>
          <cell r="B192" t="str">
            <v>VCT</v>
          </cell>
          <cell r="C192" t="str">
            <v>Saint Vincent and the Grenadines</v>
          </cell>
        </row>
        <row r="193">
          <cell r="A193" t="str">
            <v>サモア</v>
          </cell>
          <cell r="B193" t="str">
            <v>WSM</v>
          </cell>
          <cell r="C193" t="str">
            <v>Samoa</v>
          </cell>
        </row>
        <row r="194">
          <cell r="A194" t="str">
            <v>サンマリノ</v>
          </cell>
          <cell r="B194" t="str">
            <v>SMR</v>
          </cell>
          <cell r="C194" t="str">
            <v>San Marino</v>
          </cell>
        </row>
        <row r="195">
          <cell r="A195" t="str">
            <v>サントメ・プリンシペ</v>
          </cell>
          <cell r="B195" t="str">
            <v>STP</v>
          </cell>
          <cell r="C195" t="str">
            <v>Sao Tome and Principe</v>
          </cell>
        </row>
        <row r="196">
          <cell r="A196" t="str">
            <v>サウジアラビア</v>
          </cell>
          <cell r="B196" t="str">
            <v>SAU</v>
          </cell>
          <cell r="C196" t="str">
            <v>Saudi Arabia</v>
          </cell>
        </row>
        <row r="197">
          <cell r="A197" t="str">
            <v>セネガル</v>
          </cell>
          <cell r="B197" t="str">
            <v>SEN</v>
          </cell>
          <cell r="C197" t="str">
            <v>Senegal</v>
          </cell>
        </row>
        <row r="198">
          <cell r="A198" t="str">
            <v>セルビア</v>
          </cell>
          <cell r="B198" t="str">
            <v>SRB</v>
          </cell>
          <cell r="C198" t="str">
            <v>Serbia</v>
          </cell>
        </row>
        <row r="199">
          <cell r="A199" t="str">
            <v>セーシェル</v>
          </cell>
          <cell r="B199" t="str">
            <v>SYC</v>
          </cell>
          <cell r="C199" t="str">
            <v>Seychelles</v>
          </cell>
        </row>
        <row r="200">
          <cell r="A200" t="str">
            <v>シエラレオネ</v>
          </cell>
          <cell r="B200" t="str">
            <v>SLE</v>
          </cell>
          <cell r="C200" t="str">
            <v>Sierra Leone</v>
          </cell>
        </row>
        <row r="201">
          <cell r="A201" t="str">
            <v>シンガポール</v>
          </cell>
          <cell r="B201" t="str">
            <v>SGP</v>
          </cell>
          <cell r="C201" t="str">
            <v>Singapore</v>
          </cell>
        </row>
        <row r="202">
          <cell r="A202" t="str">
            <v>シント・マールテン</v>
          </cell>
          <cell r="B202" t="str">
            <v>SXM</v>
          </cell>
          <cell r="C202" t="str">
            <v>Sint Maarten (Dutch part)</v>
          </cell>
        </row>
        <row r="203">
          <cell r="A203" t="str">
            <v>スロバキア</v>
          </cell>
          <cell r="B203" t="str">
            <v>SVK</v>
          </cell>
          <cell r="C203" t="str">
            <v>Slovakia</v>
          </cell>
        </row>
        <row r="204">
          <cell r="A204" t="str">
            <v>スロベニア</v>
          </cell>
          <cell r="B204" t="str">
            <v>SVN</v>
          </cell>
          <cell r="C204" t="str">
            <v>Slovenia</v>
          </cell>
        </row>
        <row r="205">
          <cell r="A205" t="str">
            <v>ソロモン諸島</v>
          </cell>
          <cell r="B205" t="str">
            <v>SLB</v>
          </cell>
          <cell r="C205" t="str">
            <v>Solomon Islands</v>
          </cell>
        </row>
        <row r="206">
          <cell r="A206" t="str">
            <v>ソマリア</v>
          </cell>
          <cell r="B206" t="str">
            <v>SOM</v>
          </cell>
          <cell r="C206" t="str">
            <v>Somalia</v>
          </cell>
        </row>
        <row r="207">
          <cell r="A207" t="str">
            <v>南アフリカ</v>
          </cell>
          <cell r="B207" t="str">
            <v>ZAF</v>
          </cell>
          <cell r="C207" t="str">
            <v>South Africa</v>
          </cell>
        </row>
        <row r="208">
          <cell r="A208" t="str">
            <v>サウスジョージア・サウスサンドウィッチ諸島</v>
          </cell>
          <cell r="B208" t="str">
            <v>SGS</v>
          </cell>
          <cell r="C208" t="str">
            <v>South Georgia and the South Sandwich Islands</v>
          </cell>
        </row>
        <row r="209">
          <cell r="A209" t="str">
            <v>南スーダン</v>
          </cell>
          <cell r="B209" t="str">
            <v>SSD</v>
          </cell>
          <cell r="C209" t="str">
            <v>South Sudan</v>
          </cell>
        </row>
        <row r="210">
          <cell r="A210" t="str">
            <v>スペイン</v>
          </cell>
          <cell r="B210" t="str">
            <v>ESP</v>
          </cell>
          <cell r="C210" t="str">
            <v>Spain</v>
          </cell>
        </row>
        <row r="211">
          <cell r="A211" t="str">
            <v>スリランカ</v>
          </cell>
          <cell r="B211" t="str">
            <v>LKA</v>
          </cell>
          <cell r="C211" t="str">
            <v>Sri Lanka</v>
          </cell>
        </row>
        <row r="212">
          <cell r="A212" t="str">
            <v>スーダン</v>
          </cell>
          <cell r="B212" t="str">
            <v>SDN</v>
          </cell>
          <cell r="C212" t="str">
            <v>Sudan</v>
          </cell>
        </row>
        <row r="213">
          <cell r="A213" t="str">
            <v>スリナム</v>
          </cell>
          <cell r="B213" t="str">
            <v>SUR</v>
          </cell>
          <cell r="C213" t="str">
            <v>Suriname</v>
          </cell>
        </row>
        <row r="214">
          <cell r="A214" t="str">
            <v>スヴァールバル諸島およびヤンマイエン島</v>
          </cell>
          <cell r="B214" t="str">
            <v>SJM</v>
          </cell>
          <cell r="C214" t="str">
            <v>Svalbard and Jan Mayen</v>
          </cell>
        </row>
        <row r="215">
          <cell r="A215" t="str">
            <v>スウェーデン</v>
          </cell>
          <cell r="B215" t="str">
            <v>SWE</v>
          </cell>
          <cell r="C215" t="str">
            <v>Sweden</v>
          </cell>
        </row>
        <row r="216">
          <cell r="A216" t="str">
            <v>スイス</v>
          </cell>
          <cell r="B216" t="str">
            <v>CHE</v>
          </cell>
          <cell r="C216" t="str">
            <v>Switzerland</v>
          </cell>
        </row>
        <row r="217">
          <cell r="A217" t="str">
            <v>シリア</v>
          </cell>
          <cell r="B217" t="str">
            <v>SYR</v>
          </cell>
          <cell r="C217" t="str">
            <v>Syrian Arab Republic</v>
          </cell>
        </row>
        <row r="218">
          <cell r="A218" t="str">
            <v>台湾</v>
          </cell>
          <cell r="B218" t="str">
            <v>TWN</v>
          </cell>
          <cell r="C218" t="str">
            <v>Taiwan</v>
          </cell>
        </row>
        <row r="219">
          <cell r="A219" t="str">
            <v>タジキスタン</v>
          </cell>
          <cell r="B219" t="str">
            <v>TJK</v>
          </cell>
          <cell r="C219" t="str">
            <v>Tajikistan</v>
          </cell>
        </row>
        <row r="220">
          <cell r="A220" t="str">
            <v>タンザニア</v>
          </cell>
          <cell r="B220" t="str">
            <v>TZA</v>
          </cell>
          <cell r="C220" t="str">
            <v>Tanzania</v>
          </cell>
        </row>
        <row r="221">
          <cell r="A221" t="str">
            <v>タイ</v>
          </cell>
          <cell r="B221" t="str">
            <v>THA</v>
          </cell>
          <cell r="C221" t="str">
            <v>Thailand</v>
          </cell>
        </row>
        <row r="222">
          <cell r="A222" t="str">
            <v>東ティモール</v>
          </cell>
          <cell r="B222" t="str">
            <v>TLS</v>
          </cell>
          <cell r="C222" t="str">
            <v>Timor-Leste</v>
          </cell>
        </row>
        <row r="223">
          <cell r="A223" t="str">
            <v>トーゴ</v>
          </cell>
          <cell r="B223" t="str">
            <v>TGO</v>
          </cell>
          <cell r="C223" t="str">
            <v>Togo</v>
          </cell>
        </row>
        <row r="224">
          <cell r="A224" t="str">
            <v>トケラウ</v>
          </cell>
          <cell r="B224" t="str">
            <v>TKL</v>
          </cell>
          <cell r="C224" t="str">
            <v>Tokelau</v>
          </cell>
        </row>
        <row r="225">
          <cell r="A225" t="str">
            <v>トンガ</v>
          </cell>
          <cell r="B225" t="str">
            <v>TON</v>
          </cell>
          <cell r="C225" t="str">
            <v>Tonga</v>
          </cell>
        </row>
        <row r="226">
          <cell r="A226" t="str">
            <v>トリニダード・トバゴ</v>
          </cell>
          <cell r="B226" t="str">
            <v>TTO</v>
          </cell>
          <cell r="C226" t="str">
            <v>Trinidad and Tobago</v>
          </cell>
        </row>
        <row r="227">
          <cell r="A227" t="str">
            <v>チュニジア</v>
          </cell>
          <cell r="B227" t="str">
            <v>TUN</v>
          </cell>
          <cell r="C227" t="str">
            <v>Tunisia</v>
          </cell>
        </row>
        <row r="228">
          <cell r="A228" t="str">
            <v>トルコ</v>
          </cell>
          <cell r="B228" t="str">
            <v>TUR</v>
          </cell>
          <cell r="C228" t="str">
            <v>Türkiye</v>
          </cell>
        </row>
        <row r="229">
          <cell r="A229" t="str">
            <v>トルクメニスタン</v>
          </cell>
          <cell r="B229" t="str">
            <v>TKM</v>
          </cell>
          <cell r="C229" t="str">
            <v>Turkmenistan</v>
          </cell>
        </row>
        <row r="230">
          <cell r="A230" t="str">
            <v>タークス・カイコス諸島</v>
          </cell>
          <cell r="B230" t="str">
            <v>TCA</v>
          </cell>
          <cell r="C230" t="str">
            <v>Turks and Caicos Islands</v>
          </cell>
        </row>
        <row r="231">
          <cell r="A231" t="str">
            <v>ツバル</v>
          </cell>
          <cell r="B231" t="str">
            <v>TUV</v>
          </cell>
          <cell r="C231" t="str">
            <v>Tuvalu</v>
          </cell>
        </row>
        <row r="232">
          <cell r="A232" t="str">
            <v>ウガンダ</v>
          </cell>
          <cell r="B232" t="str">
            <v>UGA</v>
          </cell>
          <cell r="C232" t="str">
            <v>Uganda</v>
          </cell>
        </row>
        <row r="233">
          <cell r="A233" t="str">
            <v>ウクライナ</v>
          </cell>
          <cell r="B233" t="str">
            <v>UKR</v>
          </cell>
          <cell r="C233" t="str">
            <v>Ukraine</v>
          </cell>
        </row>
        <row r="234">
          <cell r="A234" t="str">
            <v>UAE</v>
          </cell>
          <cell r="B234" t="str">
            <v>ARE</v>
          </cell>
          <cell r="C234" t="str">
            <v>United Arab Emirates</v>
          </cell>
        </row>
        <row r="235">
          <cell r="A235" t="str">
            <v>イギリス</v>
          </cell>
          <cell r="B235" t="str">
            <v>GBR</v>
          </cell>
          <cell r="C235" t="str">
            <v>Britain</v>
          </cell>
        </row>
        <row r="236">
          <cell r="A236" t="str">
            <v>アメリカ</v>
          </cell>
          <cell r="B236" t="str">
            <v>USA</v>
          </cell>
          <cell r="C236" t="str">
            <v>America</v>
          </cell>
        </row>
        <row r="237">
          <cell r="A237" t="str">
            <v>合衆国外諸島</v>
          </cell>
          <cell r="B237" t="str">
            <v>UMI</v>
          </cell>
          <cell r="C237" t="str">
            <v>United States Minor Outlying Islands</v>
          </cell>
        </row>
        <row r="238">
          <cell r="A238" t="str">
            <v>ウルグアイ</v>
          </cell>
          <cell r="B238" t="str">
            <v>URY</v>
          </cell>
          <cell r="C238" t="str">
            <v>Uruguay</v>
          </cell>
        </row>
        <row r="239">
          <cell r="A239" t="str">
            <v>ウズベキスタン</v>
          </cell>
          <cell r="B239" t="str">
            <v>UZB</v>
          </cell>
          <cell r="C239" t="str">
            <v>Uzbekistan</v>
          </cell>
        </row>
        <row r="240">
          <cell r="A240" t="str">
            <v>バヌアツ</v>
          </cell>
          <cell r="B240" t="str">
            <v>VUT</v>
          </cell>
          <cell r="C240" t="str">
            <v>Vanuatu</v>
          </cell>
        </row>
        <row r="241">
          <cell r="A241" t="str">
            <v>ベネズエラ</v>
          </cell>
          <cell r="B241" t="str">
            <v>VEN</v>
          </cell>
          <cell r="C241" t="str">
            <v>Venezuela</v>
          </cell>
        </row>
        <row r="242">
          <cell r="A242" t="str">
            <v>ベトナム</v>
          </cell>
          <cell r="B242" t="str">
            <v>VNM</v>
          </cell>
          <cell r="C242" t="str">
            <v>Viet Nam</v>
          </cell>
        </row>
        <row r="243">
          <cell r="A243" t="str">
            <v>ウォリス・フツナ</v>
          </cell>
          <cell r="B243" t="str">
            <v>WLF</v>
          </cell>
          <cell r="C243" t="str">
            <v>Wallis and Futuna</v>
          </cell>
        </row>
        <row r="244">
          <cell r="A244" t="str">
            <v>西サハラ</v>
          </cell>
          <cell r="B244" t="str">
            <v>ESH</v>
          </cell>
          <cell r="C244" t="str">
            <v>Western Sahara</v>
          </cell>
        </row>
        <row r="245">
          <cell r="A245" t="str">
            <v>イエメン</v>
          </cell>
          <cell r="B245" t="str">
            <v>YEM</v>
          </cell>
          <cell r="C245" t="str">
            <v>Yemen</v>
          </cell>
        </row>
        <row r="246">
          <cell r="A246" t="str">
            <v>ザンビア</v>
          </cell>
          <cell r="B246" t="str">
            <v>ZMB</v>
          </cell>
          <cell r="C246" t="str">
            <v>Zambia</v>
          </cell>
        </row>
        <row r="247">
          <cell r="A247" t="str">
            <v>ジンバブエ</v>
          </cell>
          <cell r="B247" t="str">
            <v>ZWE</v>
          </cell>
          <cell r="C247" t="str">
            <v>Zimbabwe</v>
          </cell>
        </row>
        <row r="248">
          <cell r="A248" t="str">
            <v>CPTPP</v>
          </cell>
          <cell r="B248" t="str">
            <v>CPTPP</v>
          </cell>
          <cell r="C248" t="str">
            <v>Comprehensive and Progressive Agreement for Trans-Pacific Partnership</v>
          </cell>
        </row>
        <row r="249">
          <cell r="A249" t="str">
            <v>欧州連合</v>
          </cell>
          <cell r="B249" t="str">
            <v>EU</v>
          </cell>
          <cell r="C249" t="str">
            <v>EU</v>
          </cell>
        </row>
        <row r="250">
          <cell r="A250" t="str">
            <v>コソボ</v>
          </cell>
          <cell r="B250" t="str">
            <v>XKK</v>
          </cell>
          <cell r="C250" t="str">
            <v>Kosovo</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53815-6F7F-462F-8165-5CE05A98A928}">
  <dimension ref="A1:S48"/>
  <sheetViews>
    <sheetView tabSelected="1" workbookViewId="0">
      <pane ySplit="1" topLeftCell="A2" activePane="bottomLeft" state="frozen"/>
      <selection pane="bottomLeft" activeCell="A2" sqref="A2:S22"/>
    </sheetView>
  </sheetViews>
  <sheetFormatPr defaultRowHeight="18"/>
  <cols>
    <col min="1" max="2" width="8.796875" style="2"/>
    <col min="10" max="13" width="8.796875" style="2"/>
    <col min="16" max="16" width="10.19921875" style="1" bestFit="1" customWidth="1"/>
  </cols>
  <sheetData>
    <row r="1" spans="1:19">
      <c r="A1" s="2" t="s">
        <v>0</v>
      </c>
      <c r="B1" s="2" t="s">
        <v>1</v>
      </c>
      <c r="C1" t="s">
        <v>2</v>
      </c>
      <c r="D1" t="s">
        <v>3</v>
      </c>
      <c r="E1" t="s">
        <v>4</v>
      </c>
      <c r="F1" t="s">
        <v>5</v>
      </c>
      <c r="G1" t="s">
        <v>6</v>
      </c>
      <c r="H1" t="s">
        <v>7</v>
      </c>
      <c r="I1" t="s">
        <v>8</v>
      </c>
      <c r="J1" s="2" t="s">
        <v>9</v>
      </c>
      <c r="K1" s="2" t="s">
        <v>10</v>
      </c>
      <c r="L1" s="2" t="s">
        <v>11</v>
      </c>
      <c r="M1" s="2" t="s">
        <v>12</v>
      </c>
      <c r="N1" t="s">
        <v>13</v>
      </c>
      <c r="O1" t="s">
        <v>14</v>
      </c>
      <c r="P1" s="1" t="s">
        <v>15</v>
      </c>
      <c r="Q1" t="s">
        <v>16</v>
      </c>
      <c r="R1" t="s">
        <v>17</v>
      </c>
      <c r="S1" t="s">
        <v>18</v>
      </c>
    </row>
    <row r="2" spans="1:19">
      <c r="A2" s="2" t="str">
        <f>IF(C2="","",VLOOKUP(C2,[1]ISO辞書!A:C,2,FALSE))</f>
        <v>UKR</v>
      </c>
      <c r="B2" s="3" t="str">
        <f>IF(C2="","",VLOOKUP(C2,[1]ISO辞書!A:C,3,FALSE))</f>
        <v>Ukraine</v>
      </c>
      <c r="C2" t="s">
        <v>53</v>
      </c>
      <c r="D2" t="s">
        <v>55</v>
      </c>
      <c r="E2" t="s">
        <v>56</v>
      </c>
      <c r="F2" t="s">
        <v>57</v>
      </c>
      <c r="G2" t="s">
        <v>54</v>
      </c>
      <c r="J2" s="2" t="str">
        <f>IF(G2="","",VLOOKUP(G2,[1]ISO辞書!A:B,2,FALSE))</f>
        <v>TUR</v>
      </c>
      <c r="K2" s="2" t="str">
        <f>IF(H2="","",VLOOKUP(H2,[1]ISO辞書!A:B,2,FALSE))</f>
        <v/>
      </c>
      <c r="L2" s="2" t="str">
        <f>IF(I2="","",VLOOKUP(I2,[1]ISO辞書!A:B,2,FALSE))</f>
        <v/>
      </c>
      <c r="M2" s="3" t="str">
        <f t="shared" ref="M2:M45" si="0">_xlfn.TEXTJOIN(";",TRUE,J2:L2)</f>
        <v>TUR</v>
      </c>
      <c r="N2" t="s">
        <v>34</v>
      </c>
      <c r="O2" t="s">
        <v>23</v>
      </c>
      <c r="P2" s="1">
        <v>46116</v>
      </c>
      <c r="Q2" t="s">
        <v>51</v>
      </c>
      <c r="R2" s="4" t="s">
        <v>52</v>
      </c>
      <c r="S2">
        <v>4</v>
      </c>
    </row>
    <row r="3" spans="1:19">
      <c r="A3" s="2" t="str">
        <f>IF(C3="","",VLOOKUP(C3,[1]ISO辞書!A:C,2,FALSE))</f>
        <v>ITA</v>
      </c>
      <c r="B3" s="3" t="str">
        <f>IF(C3="","",VLOOKUP(C3,[1]ISO辞書!A:C,3,FALSE))</f>
        <v>Italy</v>
      </c>
      <c r="C3" t="s">
        <v>58</v>
      </c>
      <c r="D3" t="s">
        <v>59</v>
      </c>
      <c r="E3" t="s">
        <v>69</v>
      </c>
      <c r="G3" t="s">
        <v>60</v>
      </c>
      <c r="H3" t="s">
        <v>61</v>
      </c>
      <c r="I3" t="s">
        <v>62</v>
      </c>
      <c r="J3" s="2" t="str">
        <f>IF(G3="","",VLOOKUP(G3,[1]ISO辞書!A:B,2,FALSE))</f>
        <v>SAU</v>
      </c>
      <c r="K3" s="2" t="str">
        <f>IF(H3="","",VLOOKUP(H3,[1]ISO辞書!A:B,2,FALSE))</f>
        <v>QAT</v>
      </c>
      <c r="L3" s="2" t="str">
        <f>IF(I3="","",VLOOKUP(I3,[1]ISO辞書!A:B,2,FALSE))</f>
        <v>ARE</v>
      </c>
      <c r="M3" s="3" t="str">
        <f t="shared" si="0"/>
        <v>SAU;QAT;ARE</v>
      </c>
      <c r="N3" t="s">
        <v>34</v>
      </c>
      <c r="O3" t="s">
        <v>21</v>
      </c>
      <c r="P3" s="1">
        <v>46115</v>
      </c>
      <c r="Q3" t="s">
        <v>51</v>
      </c>
      <c r="R3" t="s">
        <v>63</v>
      </c>
      <c r="S3">
        <v>3</v>
      </c>
    </row>
    <row r="4" spans="1:19">
      <c r="A4" s="2" t="str">
        <f>IF(C4="","",VLOOKUP(C4,[1]ISO辞書!A:C,2,FALSE))</f>
        <v>KOR</v>
      </c>
      <c r="B4" s="3" t="str">
        <f>IF(C4="","",VLOOKUP(C4,[1]ISO辞書!A:C,3,FALSE))</f>
        <v>Korea</v>
      </c>
      <c r="C4" t="s">
        <v>65</v>
      </c>
      <c r="D4" t="s">
        <v>67</v>
      </c>
      <c r="E4" t="s">
        <v>68</v>
      </c>
      <c r="F4" t="s">
        <v>57</v>
      </c>
      <c r="G4" t="s">
        <v>66</v>
      </c>
      <c r="J4" s="2" t="str">
        <f>IF(G4="","",VLOOKUP(G4,[1]ISO辞書!A:B,2,FALSE))</f>
        <v>FRA</v>
      </c>
      <c r="K4" s="2" t="str">
        <f>IF(H4="","",VLOOKUP(H4,[1]ISO辞書!A:B,2,FALSE))</f>
        <v/>
      </c>
      <c r="L4" s="2" t="str">
        <f>IF(I4="","",VLOOKUP(I4,[1]ISO辞書!A:B,2,FALSE))</f>
        <v/>
      </c>
      <c r="M4" s="3" t="str">
        <f t="shared" si="0"/>
        <v>FRA</v>
      </c>
      <c r="N4" t="s">
        <v>34</v>
      </c>
      <c r="O4" t="s">
        <v>21</v>
      </c>
      <c r="P4" s="1">
        <v>46115</v>
      </c>
      <c r="Q4" t="s">
        <v>51</v>
      </c>
      <c r="R4" t="s">
        <v>64</v>
      </c>
      <c r="S4">
        <v>3</v>
      </c>
    </row>
    <row r="5" spans="1:19">
      <c r="A5" s="2" t="str">
        <f>IF(C5="","",VLOOKUP(C5,[1]ISO辞書!A:C,2,FALSE))</f>
        <v>RUS</v>
      </c>
      <c r="B5" s="3" t="str">
        <f>IF(C5="","",VLOOKUP(C5,[1]ISO辞書!A:C,3,FALSE))</f>
        <v>Russian Federation</v>
      </c>
      <c r="C5" t="s">
        <v>70</v>
      </c>
      <c r="D5" t="s">
        <v>113</v>
      </c>
      <c r="F5" t="s">
        <v>71</v>
      </c>
      <c r="G5" t="s">
        <v>53</v>
      </c>
      <c r="J5" s="2" t="str">
        <f>IF(G5="","",VLOOKUP(G5,[1]ISO辞書!A:B,2,FALSE))</f>
        <v>UKR</v>
      </c>
      <c r="K5" s="2" t="str">
        <f>IF(H5="","",VLOOKUP(H5,[1]ISO辞書!A:B,2,FALSE))</f>
        <v/>
      </c>
      <c r="L5" s="2" t="str">
        <f>IF(I5="","",VLOOKUP(I5,[1]ISO辞書!A:B,2,FALSE))</f>
        <v/>
      </c>
      <c r="M5" s="3" t="str">
        <f t="shared" si="0"/>
        <v>UKR</v>
      </c>
      <c r="N5" t="s">
        <v>32</v>
      </c>
      <c r="O5" t="s">
        <v>22</v>
      </c>
      <c r="P5" s="1">
        <v>46114</v>
      </c>
      <c r="Q5" t="s">
        <v>51</v>
      </c>
      <c r="R5" t="s">
        <v>72</v>
      </c>
      <c r="S5">
        <v>4</v>
      </c>
    </row>
    <row r="6" spans="1:19">
      <c r="A6" s="2" t="str">
        <f>IF(C6="","",VLOOKUP(C6,[1]ISO辞書!A:C,2,FALSE))</f>
        <v>GBR</v>
      </c>
      <c r="B6" s="3" t="str">
        <f>IF(C6="","",VLOOKUP(C6,[1]ISO辞書!A:C,3,FALSE))</f>
        <v>Britain</v>
      </c>
      <c r="C6" t="s">
        <v>74</v>
      </c>
      <c r="D6" t="s">
        <v>77</v>
      </c>
      <c r="E6" t="s">
        <v>78</v>
      </c>
      <c r="F6" t="s">
        <v>57</v>
      </c>
      <c r="G6" t="s">
        <v>76</v>
      </c>
      <c r="H6" t="s">
        <v>66</v>
      </c>
      <c r="I6" t="s">
        <v>62</v>
      </c>
      <c r="J6" s="2" t="str">
        <f>IF(G6="","",VLOOKUP(G6,[1]ISO辞書!A:B,2,FALSE))</f>
        <v>DEU</v>
      </c>
      <c r="K6" s="2" t="str">
        <f>IF(H6="","",VLOOKUP(H6,[1]ISO辞書!A:B,2,FALSE))</f>
        <v>FRA</v>
      </c>
      <c r="L6" s="2" t="str">
        <f>IF(I6="","",VLOOKUP(I6,[1]ISO辞書!A:B,2,FALSE))</f>
        <v>ARE</v>
      </c>
      <c r="M6" s="3" t="str">
        <f t="shared" si="0"/>
        <v>DEU;FRA;ARE</v>
      </c>
      <c r="N6" t="s">
        <v>29</v>
      </c>
      <c r="O6" t="s">
        <v>44</v>
      </c>
      <c r="P6" s="1">
        <v>46114</v>
      </c>
      <c r="Q6" t="s">
        <v>51</v>
      </c>
      <c r="R6" t="s">
        <v>73</v>
      </c>
      <c r="S6">
        <v>5</v>
      </c>
    </row>
    <row r="7" spans="1:19">
      <c r="A7" s="2" t="str">
        <f>IF(C7="","",VLOOKUP(C7,[1]ISO辞書!A:C,2,FALSE))</f>
        <v>USA</v>
      </c>
      <c r="B7" s="3" t="str">
        <f>IF(C7="","",VLOOKUP(C7,[1]ISO辞書!A:C,3,FALSE))</f>
        <v>America</v>
      </c>
      <c r="C7" t="s">
        <v>79</v>
      </c>
      <c r="D7" t="s">
        <v>80</v>
      </c>
      <c r="E7" t="s">
        <v>81</v>
      </c>
      <c r="F7" t="s">
        <v>57</v>
      </c>
      <c r="J7" s="2" t="str">
        <f>IF(G7="","",VLOOKUP(G7,[1]ISO辞書!A:B,2,FALSE))</f>
        <v/>
      </c>
      <c r="K7" s="2" t="str">
        <f>IF(H7="","",VLOOKUP(H7,[1]ISO辞書!A:B,2,FALSE))</f>
        <v/>
      </c>
      <c r="L7" s="2" t="str">
        <f>IF(I7="","",VLOOKUP(I7,[1]ISO辞書!A:B,2,FALSE))</f>
        <v/>
      </c>
      <c r="M7" s="3" t="str">
        <f t="shared" si="0"/>
        <v/>
      </c>
      <c r="N7" t="s">
        <v>33</v>
      </c>
      <c r="P7" s="1">
        <v>46113</v>
      </c>
      <c r="Q7" t="s">
        <v>51</v>
      </c>
      <c r="R7" t="s">
        <v>82</v>
      </c>
      <c r="S7">
        <v>4</v>
      </c>
    </row>
    <row r="8" spans="1:19">
      <c r="A8" s="2" t="str">
        <f>IF(C8="","",VLOOKUP(C8,[1]ISO辞書!A:C,2,FALSE))</f>
        <v>SRB</v>
      </c>
      <c r="B8" s="3" t="str">
        <f>IF(C8="","",VLOOKUP(C8,[1]ISO辞書!A:C,3,FALSE))</f>
        <v>Serbia</v>
      </c>
      <c r="C8" t="s">
        <v>84</v>
      </c>
      <c r="D8" t="s">
        <v>85</v>
      </c>
      <c r="E8" t="s">
        <v>86</v>
      </c>
      <c r="F8" t="s">
        <v>87</v>
      </c>
      <c r="J8" s="2" t="str">
        <f>IF(G8="","",VLOOKUP(G8,[1]ISO辞書!A:B,2,FALSE))</f>
        <v/>
      </c>
      <c r="K8" s="2" t="str">
        <f>IF(H8="","",VLOOKUP(H8,[1]ISO辞書!A:B,2,FALSE))</f>
        <v/>
      </c>
      <c r="L8" s="2" t="str">
        <f>IF(I8="","",VLOOKUP(I8,[1]ISO辞書!A:B,2,FALSE))</f>
        <v/>
      </c>
      <c r="M8" s="3" t="str">
        <f t="shared" si="0"/>
        <v/>
      </c>
      <c r="N8" t="s">
        <v>40</v>
      </c>
      <c r="O8" t="s">
        <v>24</v>
      </c>
      <c r="P8" s="1">
        <v>46112</v>
      </c>
      <c r="Q8" t="s">
        <v>51</v>
      </c>
      <c r="R8" t="s">
        <v>83</v>
      </c>
      <c r="S8">
        <v>3</v>
      </c>
    </row>
    <row r="9" spans="1:19">
      <c r="A9" s="2" t="str">
        <f>IF(C9="","",VLOOKUP(C9,[1]ISO辞書!A:C,2,FALSE))</f>
        <v>IRN</v>
      </c>
      <c r="B9" s="3" t="str">
        <f>IF(C9="","",VLOOKUP(C9,[1]ISO辞書!A:C,3,FALSE))</f>
        <v>Iran</v>
      </c>
      <c r="C9" t="s">
        <v>88</v>
      </c>
      <c r="D9" t="s">
        <v>89</v>
      </c>
      <c r="F9" t="s">
        <v>87</v>
      </c>
      <c r="J9" s="2" t="str">
        <f>IF(G9="","",VLOOKUP(G9,[1]ISO辞書!A:B,2,FALSE))</f>
        <v/>
      </c>
      <c r="K9" s="2" t="str">
        <f>IF(H9="","",VLOOKUP(H9,[1]ISO辞書!A:B,2,FALSE))</f>
        <v/>
      </c>
      <c r="L9" s="2" t="str">
        <f>IF(I9="","",VLOOKUP(I9,[1]ISO辞書!A:B,2,FALSE))</f>
        <v/>
      </c>
      <c r="M9" s="3" t="str">
        <f t="shared" si="0"/>
        <v/>
      </c>
      <c r="N9" t="s">
        <v>40</v>
      </c>
      <c r="O9" t="s">
        <v>24</v>
      </c>
      <c r="P9" s="1">
        <v>46116</v>
      </c>
      <c r="Q9" t="s">
        <v>51</v>
      </c>
      <c r="R9" t="s">
        <v>90</v>
      </c>
      <c r="S9">
        <v>3</v>
      </c>
    </row>
    <row r="10" spans="1:19">
      <c r="A10" s="2" t="str">
        <f>IF(C10="","",VLOOKUP(C10,[1]ISO辞書!A:C,2,FALSE))</f>
        <v>IND</v>
      </c>
      <c r="B10" s="3" t="str">
        <f>IF(C10="","",VLOOKUP(C10,[1]ISO辞書!A:C,3,FALSE))</f>
        <v>India</v>
      </c>
      <c r="C10" t="s">
        <v>91</v>
      </c>
      <c r="D10" t="s">
        <v>92</v>
      </c>
      <c r="F10" t="s">
        <v>57</v>
      </c>
      <c r="G10" t="s">
        <v>88</v>
      </c>
      <c r="J10" s="2" t="str">
        <f>IF(G10="","",VLOOKUP(G10,[1]ISO辞書!A:B,2,FALSE))</f>
        <v>IRN</v>
      </c>
      <c r="K10" s="2" t="str">
        <f>IF(H10="","",VLOOKUP(H10,[1]ISO辞書!A:B,2,FALSE))</f>
        <v/>
      </c>
      <c r="L10" s="2" t="str">
        <f>IF(I10="","",VLOOKUP(I10,[1]ISO辞書!A:B,2,FALSE))</f>
        <v/>
      </c>
      <c r="M10" s="3" t="str">
        <f t="shared" si="0"/>
        <v>IRN</v>
      </c>
      <c r="N10" t="s">
        <v>29</v>
      </c>
      <c r="O10" t="s">
        <v>44</v>
      </c>
      <c r="P10" s="1">
        <v>46116</v>
      </c>
      <c r="Q10" t="s">
        <v>51</v>
      </c>
      <c r="R10" t="s">
        <v>93</v>
      </c>
      <c r="S10">
        <v>4</v>
      </c>
    </row>
    <row r="11" spans="1:19">
      <c r="A11" s="2" t="str">
        <f>IF(C11="","",VLOOKUP(C11,[1]ISO辞書!A:C,2,FALSE))</f>
        <v>RUS</v>
      </c>
      <c r="B11" s="3" t="str">
        <f>IF(C11="","",VLOOKUP(C11,[1]ISO辞書!A:C,3,FALSE))</f>
        <v>Russian Federation</v>
      </c>
      <c r="C11" t="s">
        <v>70</v>
      </c>
      <c r="D11" t="s">
        <v>94</v>
      </c>
      <c r="E11" t="s">
        <v>96</v>
      </c>
      <c r="F11" t="s">
        <v>57</v>
      </c>
      <c r="G11" t="s">
        <v>54</v>
      </c>
      <c r="J11" s="2" t="str">
        <f>IF(G11="","",VLOOKUP(G11,[1]ISO辞書!A:B,2,FALSE))</f>
        <v>TUR</v>
      </c>
      <c r="K11" s="2" t="str">
        <f>IF(H11="","",VLOOKUP(H11,[1]ISO辞書!A:B,2,FALSE))</f>
        <v/>
      </c>
      <c r="L11" s="2" t="str">
        <f>IF(I11="","",VLOOKUP(I11,[1]ISO辞書!A:B,2,FALSE))</f>
        <v/>
      </c>
      <c r="M11" s="3" t="str">
        <f t="shared" si="0"/>
        <v>TUR</v>
      </c>
      <c r="N11" t="s">
        <v>26</v>
      </c>
      <c r="O11" t="s">
        <v>21</v>
      </c>
      <c r="P11" s="1">
        <v>46115</v>
      </c>
      <c r="Q11" t="s">
        <v>51</v>
      </c>
      <c r="R11" t="s">
        <v>95</v>
      </c>
      <c r="S11">
        <v>4</v>
      </c>
    </row>
    <row r="12" spans="1:19">
      <c r="A12" s="2" t="str">
        <f>IF(C12="","",VLOOKUP(C12,[1]ISO辞書!A:C,2,FALSE))</f>
        <v>JPN</v>
      </c>
      <c r="B12" s="3" t="str">
        <f>IF(C12="","",VLOOKUP(C12,[1]ISO辞書!A:C,3,FALSE))</f>
        <v>Japan</v>
      </c>
      <c r="C12" t="s">
        <v>75</v>
      </c>
      <c r="D12" t="s">
        <v>112</v>
      </c>
      <c r="F12" t="s">
        <v>57</v>
      </c>
      <c r="G12" t="s">
        <v>66</v>
      </c>
      <c r="H12" t="s">
        <v>98</v>
      </c>
      <c r="I12" t="s">
        <v>88</v>
      </c>
      <c r="J12" s="2" t="str">
        <f>IF(G12="","",VLOOKUP(G12,[1]ISO辞書!A:B,2,FALSE))</f>
        <v>FRA</v>
      </c>
      <c r="K12" s="2" t="str">
        <f>IF(H12="","",VLOOKUP(H12,[1]ISO辞書!A:B,2,FALSE))</f>
        <v>OMN</v>
      </c>
      <c r="L12" s="2" t="str">
        <f>IF(I12="","",VLOOKUP(I12,[1]ISO辞書!A:B,2,FALSE))</f>
        <v>IRN</v>
      </c>
      <c r="M12" s="3" t="str">
        <f t="shared" si="0"/>
        <v>FRA;OMN;IRN</v>
      </c>
      <c r="N12" t="s">
        <v>29</v>
      </c>
      <c r="O12" t="s">
        <v>44</v>
      </c>
      <c r="P12" s="1">
        <v>46115</v>
      </c>
      <c r="Q12" t="s">
        <v>51</v>
      </c>
      <c r="R12" t="s">
        <v>97</v>
      </c>
      <c r="S12">
        <v>4</v>
      </c>
    </row>
    <row r="13" spans="1:19">
      <c r="A13" s="2" t="str">
        <f>IF(C13="","",VLOOKUP(C13,[1]ISO辞書!A:C,2,FALSE))</f>
        <v>LBN</v>
      </c>
      <c r="B13" s="3" t="str">
        <f>IF(C13="","",VLOOKUP(C13,[1]ISO辞書!A:C,3,FALSE))</f>
        <v>Lebanon</v>
      </c>
      <c r="C13" t="s">
        <v>100</v>
      </c>
      <c r="D13" t="s">
        <v>101</v>
      </c>
      <c r="F13" t="s">
        <v>71</v>
      </c>
      <c r="G13" t="s">
        <v>102</v>
      </c>
      <c r="J13" s="2" t="str">
        <f>IF(G13="","",VLOOKUP(G13,[1]ISO辞書!A:B,2,FALSE))</f>
        <v>ISR</v>
      </c>
      <c r="K13" s="2" t="str">
        <f>IF(H13="","",VLOOKUP(H13,[1]ISO辞書!A:B,2,FALSE))</f>
        <v/>
      </c>
      <c r="L13" s="2" t="str">
        <f>IF(I13="","",VLOOKUP(I13,[1]ISO辞書!A:B,2,FALSE))</f>
        <v/>
      </c>
      <c r="M13" s="3" t="str">
        <f t="shared" si="0"/>
        <v>ISR</v>
      </c>
      <c r="N13" t="s">
        <v>32</v>
      </c>
      <c r="O13" t="s">
        <v>22</v>
      </c>
      <c r="P13" s="1">
        <v>46113</v>
      </c>
      <c r="Q13" t="s">
        <v>51</v>
      </c>
      <c r="R13" t="s">
        <v>99</v>
      </c>
      <c r="S13">
        <v>4</v>
      </c>
    </row>
    <row r="14" spans="1:19">
      <c r="A14" s="2" t="str">
        <f>IF(C14="","",VLOOKUP(C14,[1]ISO辞書!A:C,2,FALSE))</f>
        <v>SYR</v>
      </c>
      <c r="B14" s="3" t="str">
        <f>IF(C14="","",VLOOKUP(C14,[1]ISO辞書!A:C,3,FALSE))</f>
        <v>Syrian Arab Republic</v>
      </c>
      <c r="C14" t="s">
        <v>104</v>
      </c>
      <c r="D14" t="s">
        <v>105</v>
      </c>
      <c r="E14" t="s">
        <v>106</v>
      </c>
      <c r="F14" t="s">
        <v>57</v>
      </c>
      <c r="G14" t="s">
        <v>88</v>
      </c>
      <c r="H14" t="s">
        <v>79</v>
      </c>
      <c r="I14" t="s">
        <v>102</v>
      </c>
      <c r="J14" s="2" t="str">
        <f>IF(G14="","",VLOOKUP(G14,[1]ISO辞書!A:B,2,FALSE))</f>
        <v>IRN</v>
      </c>
      <c r="K14" s="2" t="str">
        <f>IF(H14="","",VLOOKUP(H14,[1]ISO辞書!A:B,2,FALSE))</f>
        <v>USA</v>
      </c>
      <c r="L14" s="2" t="str">
        <f>IF(I14="","",VLOOKUP(I14,[1]ISO辞書!A:B,2,FALSE))</f>
        <v>ISR</v>
      </c>
      <c r="M14" s="3" t="str">
        <f t="shared" si="0"/>
        <v>IRN;USA;ISR</v>
      </c>
      <c r="N14" t="s">
        <v>26</v>
      </c>
      <c r="O14" t="s">
        <v>21</v>
      </c>
      <c r="P14" s="1">
        <v>46112</v>
      </c>
      <c r="Q14" t="s">
        <v>51</v>
      </c>
      <c r="R14" t="s">
        <v>103</v>
      </c>
      <c r="S14">
        <v>3</v>
      </c>
    </row>
    <row r="15" spans="1:19">
      <c r="A15" s="2" t="str">
        <f>IF(C15="","",VLOOKUP(C15,[1]ISO辞書!A:C,2,FALSE))</f>
        <v>ARG</v>
      </c>
      <c r="B15" s="3" t="str">
        <f>IF(C15="","",VLOOKUP(C15,[1]ISO辞書!A:C,3,FALSE))</f>
        <v>Argentina</v>
      </c>
      <c r="C15" t="s">
        <v>107</v>
      </c>
      <c r="D15" t="s">
        <v>108</v>
      </c>
      <c r="E15" t="s">
        <v>110</v>
      </c>
      <c r="F15" t="s">
        <v>57</v>
      </c>
      <c r="G15" t="s">
        <v>88</v>
      </c>
      <c r="J15" s="2" t="str">
        <f>IF(G15="","",VLOOKUP(G15,[1]ISO辞書!A:B,2,FALSE))</f>
        <v>IRN</v>
      </c>
      <c r="K15" s="2" t="str">
        <f>IF(H15="","",VLOOKUP(H15,[1]ISO辞書!A:B,2,FALSE))</f>
        <v/>
      </c>
      <c r="L15" s="2" t="str">
        <f>IF(I15="","",VLOOKUP(I15,[1]ISO辞書!A:B,2,FALSE))</f>
        <v/>
      </c>
      <c r="M15" s="3" t="str">
        <f t="shared" si="0"/>
        <v>IRN</v>
      </c>
      <c r="N15" t="s">
        <v>26</v>
      </c>
      <c r="O15" t="s">
        <v>21</v>
      </c>
      <c r="P15" s="1">
        <v>46113</v>
      </c>
      <c r="Q15" t="s">
        <v>51</v>
      </c>
      <c r="R15" t="s">
        <v>109</v>
      </c>
      <c r="S15">
        <v>4</v>
      </c>
    </row>
    <row r="16" spans="1:19">
      <c r="A16" s="2" t="str">
        <f>IF(C16="","",VLOOKUP(C16,[1]ISO辞書!A:C,2,FALSE))</f>
        <v>BFA</v>
      </c>
      <c r="B16" s="3" t="str">
        <f>IF(C16="","",VLOOKUP(C16,[1]ISO辞書!A:C,3,FALSE))</f>
        <v>Burkina Faso</v>
      </c>
      <c r="C16" t="s">
        <v>111</v>
      </c>
      <c r="D16" t="s">
        <v>114</v>
      </c>
      <c r="E16" t="s">
        <v>115</v>
      </c>
      <c r="F16" t="s">
        <v>57</v>
      </c>
      <c r="G16" t="s">
        <v>116</v>
      </c>
      <c r="J16" s="2" t="str">
        <f>IF(G16="","",VLOOKUP(G16,[1]ISO辞書!A:B,2,FALSE))</f>
        <v>MLI</v>
      </c>
      <c r="K16" s="2" t="str">
        <f>IF(H16="","",VLOOKUP(H16,[1]ISO辞書!A:B,2,FALSE))</f>
        <v/>
      </c>
      <c r="L16" s="2" t="str">
        <f>IF(I16="","",VLOOKUP(I16,[1]ISO辞書!A:B,2,FALSE))</f>
        <v/>
      </c>
      <c r="M16" s="3" t="str">
        <f t="shared" si="0"/>
        <v>MLI</v>
      </c>
      <c r="N16" t="s">
        <v>32</v>
      </c>
      <c r="O16" t="s">
        <v>22</v>
      </c>
      <c r="P16" s="1">
        <v>46114</v>
      </c>
      <c r="Q16" t="s">
        <v>51</v>
      </c>
      <c r="R16" t="s">
        <v>117</v>
      </c>
      <c r="S16">
        <v>3</v>
      </c>
    </row>
    <row r="17" spans="1:19">
      <c r="A17" s="2" t="str">
        <f>IF(C17="","",VLOOKUP(C17,[1]ISO辞書!A:C,2,FALSE))</f>
        <v>ETH</v>
      </c>
      <c r="B17" s="3" t="str">
        <f>IF(C17="","",VLOOKUP(C17,[1]ISO辞書!A:C,3,FALSE))</f>
        <v>Ethiopia</v>
      </c>
      <c r="C17" t="s">
        <v>118</v>
      </c>
      <c r="D17" t="s">
        <v>121</v>
      </c>
      <c r="E17" t="s">
        <v>122</v>
      </c>
      <c r="F17" t="s">
        <v>57</v>
      </c>
      <c r="G17" t="s">
        <v>119</v>
      </c>
      <c r="J17" s="2" t="str">
        <f>IF(G17="","",VLOOKUP(G17,[1]ISO辞書!A:B,2,FALSE))</f>
        <v>CHN</v>
      </c>
      <c r="K17" s="2" t="str">
        <f>IF(H17="","",VLOOKUP(H17,[1]ISO辞書!A:B,2,FALSE))</f>
        <v/>
      </c>
      <c r="L17" s="2" t="str">
        <f>IF(I17="","",VLOOKUP(I17,[1]ISO辞書!A:B,2,FALSE))</f>
        <v/>
      </c>
      <c r="M17" s="3" t="str">
        <f t="shared" si="0"/>
        <v>CHN</v>
      </c>
      <c r="N17" t="s">
        <v>28</v>
      </c>
      <c r="O17" t="s">
        <v>43</v>
      </c>
      <c r="P17" s="1">
        <v>46115</v>
      </c>
      <c r="Q17" t="s">
        <v>51</v>
      </c>
      <c r="R17" t="s">
        <v>120</v>
      </c>
      <c r="S17">
        <v>3</v>
      </c>
    </row>
    <row r="18" spans="1:19">
      <c r="A18" s="2" t="str">
        <f>IF(C18="","",VLOOKUP(C18,[1]ISO辞書!A:C,2,FALSE))</f>
        <v>COD</v>
      </c>
      <c r="B18" s="3" t="str">
        <f>IF(C18="","",VLOOKUP(C18,[1]ISO辞書!A:C,3,FALSE))</f>
        <v>Democratic Republic of the Congo</v>
      </c>
      <c r="C18" t="s">
        <v>124</v>
      </c>
      <c r="D18" t="s">
        <v>125</v>
      </c>
      <c r="F18" t="s">
        <v>71</v>
      </c>
      <c r="J18" s="2" t="str">
        <f>IF(G18="","",VLOOKUP(G18,[1]ISO辞書!A:B,2,FALSE))</f>
        <v/>
      </c>
      <c r="K18" s="2" t="str">
        <f>IF(H18="","",VLOOKUP(H18,[1]ISO辞書!A:B,2,FALSE))</f>
        <v/>
      </c>
      <c r="L18" s="2" t="str">
        <f>IF(I18="","",VLOOKUP(I18,[1]ISO辞書!A:B,2,FALSE))</f>
        <v/>
      </c>
      <c r="M18" s="3" t="str">
        <f t="shared" si="0"/>
        <v/>
      </c>
      <c r="N18" t="s">
        <v>35</v>
      </c>
      <c r="O18" t="s">
        <v>22</v>
      </c>
      <c r="P18" s="1">
        <v>46114</v>
      </c>
      <c r="Q18" t="s">
        <v>51</v>
      </c>
      <c r="R18" t="s">
        <v>123</v>
      </c>
      <c r="S18">
        <v>2</v>
      </c>
    </row>
    <row r="19" spans="1:19">
      <c r="A19" s="2" t="str">
        <f>IF(C19="","",VLOOKUP(C19,[1]ISO辞書!A:C,2,FALSE))</f>
        <v>USA</v>
      </c>
      <c r="B19" s="3" t="str">
        <f>IF(C19="","",VLOOKUP(C19,[1]ISO辞書!A:C,3,FALSE))</f>
        <v>America</v>
      </c>
      <c r="C19" t="s">
        <v>79</v>
      </c>
      <c r="D19" t="s">
        <v>126</v>
      </c>
      <c r="E19" t="s">
        <v>129</v>
      </c>
      <c r="F19" t="s">
        <v>57</v>
      </c>
      <c r="G19" t="s">
        <v>127</v>
      </c>
      <c r="J19" s="2" t="str">
        <f>IF(G19="","",VLOOKUP(G19,[1]ISO辞書!A:B,2,FALSE))</f>
        <v>VEN</v>
      </c>
      <c r="K19" s="2" t="str">
        <f>IF(H19="","",VLOOKUP(H19,[1]ISO辞書!A:B,2,FALSE))</f>
        <v/>
      </c>
      <c r="L19" s="2" t="str">
        <f>IF(I19="","",VLOOKUP(I19,[1]ISO辞書!A:B,2,FALSE))</f>
        <v/>
      </c>
      <c r="M19" s="3" t="str">
        <f t="shared" si="0"/>
        <v>VEN</v>
      </c>
      <c r="N19" t="s">
        <v>34</v>
      </c>
      <c r="O19" t="s">
        <v>21</v>
      </c>
      <c r="P19" s="1">
        <v>46114</v>
      </c>
      <c r="Q19" t="s">
        <v>51</v>
      </c>
      <c r="R19" t="s">
        <v>128</v>
      </c>
      <c r="S19">
        <v>4</v>
      </c>
    </row>
    <row r="20" spans="1:19">
      <c r="A20" s="2" t="str">
        <f>IF(C20="","",VLOOKUP(C20,[1]ISO辞書!A:C,2,FALSE))</f>
        <v>EU</v>
      </c>
      <c r="B20" s="3" t="str">
        <f>IF(C20="","",VLOOKUP(C20,[1]ISO辞書!A:C,3,FALSE))</f>
        <v>EU</v>
      </c>
      <c r="C20" t="s">
        <v>131</v>
      </c>
      <c r="D20" t="s">
        <v>132</v>
      </c>
      <c r="E20" t="s">
        <v>134</v>
      </c>
      <c r="F20" t="s">
        <v>57</v>
      </c>
      <c r="G20" t="s">
        <v>133</v>
      </c>
      <c r="J20" s="2" t="str">
        <f>IF(G20="","",VLOOKUP(G20,[1]ISO辞書!A:B,2,FALSE))</f>
        <v>CUB</v>
      </c>
      <c r="K20" s="2" t="str">
        <f>IF(H20="","",VLOOKUP(H20,[1]ISO辞書!A:B,2,FALSE))</f>
        <v/>
      </c>
      <c r="L20" s="2" t="str">
        <f>IF(I20="","",VLOOKUP(I20,[1]ISO辞書!A:B,2,FALSE))</f>
        <v/>
      </c>
      <c r="M20" s="3" t="str">
        <f t="shared" si="0"/>
        <v>CUB</v>
      </c>
      <c r="N20" t="s">
        <v>26</v>
      </c>
      <c r="O20" t="s">
        <v>21</v>
      </c>
      <c r="P20" s="1">
        <v>46113</v>
      </c>
      <c r="Q20" t="s">
        <v>51</v>
      </c>
      <c r="R20" t="s">
        <v>130</v>
      </c>
      <c r="S20">
        <v>3</v>
      </c>
    </row>
    <row r="21" spans="1:19">
      <c r="A21" s="2" t="str">
        <f>IF(C21="","",VLOOKUP(C21,[1]ISO辞書!A:C,2,FALSE))</f>
        <v>CHN</v>
      </c>
      <c r="B21" s="3" t="str">
        <f>IF(C21="","",VLOOKUP(C21,[1]ISO辞書!A:C,3,FALSE))</f>
        <v>China</v>
      </c>
      <c r="C21" t="s">
        <v>119</v>
      </c>
      <c r="D21" t="s">
        <v>136</v>
      </c>
      <c r="E21" t="s">
        <v>137</v>
      </c>
      <c r="F21" t="s">
        <v>87</v>
      </c>
      <c r="J21" s="2" t="str">
        <f>IF(G21="","",VLOOKUP(G21,[1]ISO辞書!A:B,2,FALSE))</f>
        <v/>
      </c>
      <c r="K21" s="2" t="str">
        <f>IF(H21="","",VLOOKUP(H21,[1]ISO辞書!A:B,2,FALSE))</f>
        <v/>
      </c>
      <c r="L21" s="2" t="str">
        <f>IF(I21="","",VLOOKUP(I21,[1]ISO辞書!A:B,2,FALSE))</f>
        <v/>
      </c>
      <c r="M21" s="3" t="str">
        <f t="shared" si="0"/>
        <v/>
      </c>
      <c r="N21" t="s">
        <v>40</v>
      </c>
      <c r="O21" t="s">
        <v>24</v>
      </c>
      <c r="P21" s="1">
        <v>46115</v>
      </c>
      <c r="Q21" t="s">
        <v>51</v>
      </c>
      <c r="R21" t="s">
        <v>135</v>
      </c>
      <c r="S21">
        <v>3</v>
      </c>
    </row>
    <row r="22" spans="1:19">
      <c r="A22" s="2" t="str">
        <f>IF(C22="","",VLOOKUP(C22,[1]ISO辞書!A:C,2,FALSE))</f>
        <v>NZL</v>
      </c>
      <c r="B22" s="3" t="str">
        <f>IF(C22="","",VLOOKUP(C22,[1]ISO辞書!A:C,3,FALSE))</f>
        <v>New Zealand</v>
      </c>
      <c r="C22" t="s">
        <v>139</v>
      </c>
      <c r="D22" t="s">
        <v>141</v>
      </c>
      <c r="E22" t="s">
        <v>142</v>
      </c>
      <c r="F22" t="s">
        <v>57</v>
      </c>
      <c r="G22" t="s">
        <v>140</v>
      </c>
      <c r="J22" s="2" t="str">
        <f>IF(G22="","",VLOOKUP(G22,[1]ISO辞書!A:B,2,FALSE))</f>
        <v>COK</v>
      </c>
      <c r="K22" s="2" t="str">
        <f>IF(H22="","",VLOOKUP(H22,[1]ISO辞書!A:B,2,FALSE))</f>
        <v/>
      </c>
      <c r="L22" s="2" t="str">
        <f>IF(I22="","",VLOOKUP(I22,[1]ISO辞書!A:B,2,FALSE))</f>
        <v/>
      </c>
      <c r="M22" s="3" t="str">
        <f t="shared" si="0"/>
        <v>COK</v>
      </c>
      <c r="N22" t="s">
        <v>34</v>
      </c>
      <c r="O22" t="s">
        <v>21</v>
      </c>
      <c r="P22" s="1">
        <v>46114</v>
      </c>
      <c r="Q22" t="s">
        <v>51</v>
      </c>
      <c r="R22" t="s">
        <v>138</v>
      </c>
      <c r="S22">
        <v>4</v>
      </c>
    </row>
    <row r="23" spans="1:19">
      <c r="A23" s="2" t="str">
        <f>IF(C23="","",VLOOKUP(C23,[1]ISO辞書!A:C,2,FALSE))</f>
        <v/>
      </c>
      <c r="B23" s="3" t="str">
        <f>IF(C23="","",VLOOKUP(C23,[1]ISO辞書!A:C,3,FALSE))</f>
        <v/>
      </c>
      <c r="J23" s="2" t="str">
        <f>IF(G23="","",VLOOKUP(G23,[1]ISO辞書!A:B,2,FALSE))</f>
        <v/>
      </c>
      <c r="K23" s="2" t="str">
        <f>IF(H23="","",VLOOKUP(H23,[1]ISO辞書!A:B,2,FALSE))</f>
        <v/>
      </c>
      <c r="L23" s="2" t="str">
        <f>IF(I23="","",VLOOKUP(I23,[1]ISO辞書!A:B,2,FALSE))</f>
        <v/>
      </c>
      <c r="M23" s="3" t="str">
        <f t="shared" si="0"/>
        <v/>
      </c>
    </row>
    <row r="24" spans="1:19">
      <c r="A24" s="2" t="str">
        <f>IF(C24="","",VLOOKUP(C24,[1]ISO辞書!A:C,2,FALSE))</f>
        <v/>
      </c>
      <c r="B24" s="3" t="str">
        <f>IF(C24="","",VLOOKUP(C24,[1]ISO辞書!A:C,3,FALSE))</f>
        <v/>
      </c>
      <c r="J24" s="2" t="str">
        <f>IF(G24="","",VLOOKUP(G24,[1]ISO辞書!A:B,2,FALSE))</f>
        <v/>
      </c>
      <c r="K24" s="2" t="str">
        <f>IF(H24="","",VLOOKUP(H24,[1]ISO辞書!A:B,2,FALSE))</f>
        <v/>
      </c>
      <c r="L24" s="2" t="str">
        <f>IF(I24="","",VLOOKUP(I24,[1]ISO辞書!A:B,2,FALSE))</f>
        <v/>
      </c>
      <c r="M24" s="3" t="str">
        <f t="shared" si="0"/>
        <v/>
      </c>
    </row>
    <row r="25" spans="1:19">
      <c r="A25" s="2" t="str">
        <f>IF(C25="","",VLOOKUP(C25,[1]ISO辞書!A:C,2,FALSE))</f>
        <v/>
      </c>
      <c r="B25" s="3" t="str">
        <f>IF(C25="","",VLOOKUP(C25,[1]ISO辞書!A:C,3,FALSE))</f>
        <v/>
      </c>
      <c r="J25" s="2" t="str">
        <f>IF(G25="","",VLOOKUP(G25,[1]ISO辞書!A:B,2,FALSE))</f>
        <v/>
      </c>
      <c r="K25" s="2" t="str">
        <f>IF(H25="","",VLOOKUP(H25,[1]ISO辞書!A:B,2,FALSE))</f>
        <v/>
      </c>
      <c r="L25" s="2" t="str">
        <f>IF(I25="","",VLOOKUP(I25,[1]ISO辞書!A:B,2,FALSE))</f>
        <v/>
      </c>
      <c r="M25" s="3" t="str">
        <f t="shared" si="0"/>
        <v/>
      </c>
    </row>
    <row r="26" spans="1:19">
      <c r="A26" s="2" t="str">
        <f>IF(C26="","",VLOOKUP(C26,[1]ISO辞書!A:C,2,FALSE))</f>
        <v/>
      </c>
      <c r="B26" s="3" t="str">
        <f>IF(C26="","",VLOOKUP(C26,[1]ISO辞書!A:C,3,FALSE))</f>
        <v/>
      </c>
      <c r="J26" s="2" t="str">
        <f>IF(G26="","",VLOOKUP(G26,[1]ISO辞書!A:B,2,FALSE))</f>
        <v/>
      </c>
      <c r="K26" s="2" t="str">
        <f>IF(H26="","",VLOOKUP(H26,[1]ISO辞書!A:B,2,FALSE))</f>
        <v/>
      </c>
      <c r="L26" s="2" t="str">
        <f>IF(I26="","",VLOOKUP(I26,[1]ISO辞書!A:B,2,FALSE))</f>
        <v/>
      </c>
      <c r="M26" s="3" t="str">
        <f t="shared" si="0"/>
        <v/>
      </c>
    </row>
    <row r="27" spans="1:19">
      <c r="A27" s="2" t="str">
        <f>IF(C27="","",VLOOKUP(C27,[1]ISO辞書!A:C,2,FALSE))</f>
        <v/>
      </c>
      <c r="B27" s="3" t="str">
        <f>IF(C27="","",VLOOKUP(C27,[1]ISO辞書!A:C,3,FALSE))</f>
        <v/>
      </c>
      <c r="J27" s="2" t="str">
        <f>IF(G27="","",VLOOKUP(G27,[1]ISO辞書!A:B,2,FALSE))</f>
        <v/>
      </c>
      <c r="K27" s="2" t="str">
        <f>IF(H27="","",VLOOKUP(H27,[1]ISO辞書!A:B,2,FALSE))</f>
        <v/>
      </c>
      <c r="L27" s="2" t="str">
        <f>IF(I27="","",VLOOKUP(I27,[1]ISO辞書!A:B,2,FALSE))</f>
        <v/>
      </c>
      <c r="M27" s="3" t="str">
        <f t="shared" si="0"/>
        <v/>
      </c>
    </row>
    <row r="28" spans="1:19">
      <c r="A28" s="2" t="str">
        <f>IF(C28="","",VLOOKUP(C28,[1]ISO辞書!A:C,2,FALSE))</f>
        <v/>
      </c>
      <c r="B28" s="3" t="str">
        <f>IF(C28="","",VLOOKUP(C28,[1]ISO辞書!A:C,3,FALSE))</f>
        <v/>
      </c>
      <c r="J28" s="2" t="str">
        <f>IF(G28="","",VLOOKUP(G28,[1]ISO辞書!A:B,2,FALSE))</f>
        <v/>
      </c>
      <c r="K28" s="2" t="str">
        <f>IF(H28="","",VLOOKUP(H28,[1]ISO辞書!A:B,2,FALSE))</f>
        <v/>
      </c>
      <c r="L28" s="2" t="str">
        <f>IF(I28="","",VLOOKUP(I28,[1]ISO辞書!A:B,2,FALSE))</f>
        <v/>
      </c>
      <c r="M28" s="3" t="str">
        <f t="shared" si="0"/>
        <v/>
      </c>
    </row>
    <row r="29" spans="1:19">
      <c r="A29" s="2" t="str">
        <f>IF(C29="","",VLOOKUP(C29,[1]ISO辞書!A:C,2,FALSE))</f>
        <v/>
      </c>
      <c r="B29" s="3" t="str">
        <f>IF(C29="","",VLOOKUP(C29,[1]ISO辞書!A:C,3,FALSE))</f>
        <v/>
      </c>
      <c r="J29" s="2" t="str">
        <f>IF(G29="","",VLOOKUP(G29,[1]ISO辞書!A:B,2,FALSE))</f>
        <v/>
      </c>
      <c r="K29" s="2" t="str">
        <f>IF(H29="","",VLOOKUP(H29,[1]ISO辞書!A:B,2,FALSE))</f>
        <v/>
      </c>
      <c r="L29" s="2" t="str">
        <f>IF(I29="","",VLOOKUP(I29,[1]ISO辞書!A:B,2,FALSE))</f>
        <v/>
      </c>
      <c r="M29" s="3" t="str">
        <f t="shared" si="0"/>
        <v/>
      </c>
    </row>
    <row r="30" spans="1:19">
      <c r="A30" s="2" t="str">
        <f>IF(C30="","",VLOOKUP(C30,[1]ISO辞書!A:C,2,FALSE))</f>
        <v/>
      </c>
      <c r="B30" s="3" t="str">
        <f>IF(C30="","",VLOOKUP(C30,[1]ISO辞書!A:C,3,FALSE))</f>
        <v/>
      </c>
      <c r="J30" s="2" t="str">
        <f>IF(G30="","",VLOOKUP(G30,[1]ISO辞書!A:B,2,FALSE))</f>
        <v/>
      </c>
      <c r="K30" s="2" t="str">
        <f>IF(H30="","",VLOOKUP(H30,[1]ISO辞書!A:B,2,FALSE))</f>
        <v/>
      </c>
      <c r="L30" s="2" t="str">
        <f>IF(I30="","",VLOOKUP(I30,[1]ISO辞書!A:B,2,FALSE))</f>
        <v/>
      </c>
      <c r="M30" s="3" t="str">
        <f t="shared" si="0"/>
        <v/>
      </c>
    </row>
    <row r="31" spans="1:19">
      <c r="A31" s="2" t="str">
        <f>IF(C31="","",VLOOKUP(C31,[1]ISO辞書!A:C,2,FALSE))</f>
        <v/>
      </c>
      <c r="B31" s="3" t="str">
        <f>IF(C31="","",VLOOKUP(C31,[1]ISO辞書!A:C,3,FALSE))</f>
        <v/>
      </c>
      <c r="J31" s="2" t="str">
        <f>IF(G31="","",VLOOKUP(G31,[1]ISO辞書!A:B,2,FALSE))</f>
        <v/>
      </c>
      <c r="K31" s="2" t="str">
        <f>IF(H31="","",VLOOKUP(H31,[1]ISO辞書!A:B,2,FALSE))</f>
        <v/>
      </c>
      <c r="L31" s="2" t="str">
        <f>IF(I31="","",VLOOKUP(I31,[1]ISO辞書!A:B,2,FALSE))</f>
        <v/>
      </c>
      <c r="M31" s="3" t="str">
        <f t="shared" si="0"/>
        <v/>
      </c>
    </row>
    <row r="32" spans="1:19">
      <c r="A32" s="2" t="str">
        <f>IF(C32="","",VLOOKUP(C32,[1]ISO辞書!A:C,2,FALSE))</f>
        <v/>
      </c>
      <c r="B32" s="3" t="str">
        <f>IF(C32="","",VLOOKUP(C32,[1]ISO辞書!A:C,3,FALSE))</f>
        <v/>
      </c>
      <c r="J32" s="2" t="str">
        <f>IF(G32="","",VLOOKUP(G32,[1]ISO辞書!A:B,2,FALSE))</f>
        <v/>
      </c>
      <c r="K32" s="2" t="str">
        <f>IF(H32="","",VLOOKUP(H32,[1]ISO辞書!A:B,2,FALSE))</f>
        <v/>
      </c>
      <c r="L32" s="2" t="str">
        <f>IF(I32="","",VLOOKUP(I32,[1]ISO辞書!A:B,2,FALSE))</f>
        <v/>
      </c>
      <c r="M32" s="3" t="str">
        <f t="shared" si="0"/>
        <v/>
      </c>
    </row>
    <row r="33" spans="1:13">
      <c r="A33" s="2" t="str">
        <f>IF(C33="","",VLOOKUP(C33,[1]ISO辞書!A:C,2,FALSE))</f>
        <v/>
      </c>
      <c r="B33" s="3" t="str">
        <f>IF(C33="","",VLOOKUP(C33,[1]ISO辞書!A:C,3,FALSE))</f>
        <v/>
      </c>
      <c r="J33" s="2" t="str">
        <f>IF(G33="","",VLOOKUP(G33,[1]ISO辞書!A:B,2,FALSE))</f>
        <v/>
      </c>
      <c r="K33" s="2" t="str">
        <f>IF(H33="","",VLOOKUP(H33,[1]ISO辞書!A:B,2,FALSE))</f>
        <v/>
      </c>
      <c r="L33" s="2" t="str">
        <f>IF(I33="","",VLOOKUP(I33,[1]ISO辞書!A:B,2,FALSE))</f>
        <v/>
      </c>
      <c r="M33" s="3" t="str">
        <f t="shared" si="0"/>
        <v/>
      </c>
    </row>
    <row r="34" spans="1:13">
      <c r="A34" s="2" t="str">
        <f>IF(C34="","",VLOOKUP(C34,[1]ISO辞書!A:C,2,FALSE))</f>
        <v/>
      </c>
      <c r="B34" s="3" t="str">
        <f>IF(C34="","",VLOOKUP(C34,[1]ISO辞書!A:C,3,FALSE))</f>
        <v/>
      </c>
      <c r="J34" s="2" t="str">
        <f>IF(G34="","",VLOOKUP(G34,[1]ISO辞書!A:B,2,FALSE))</f>
        <v/>
      </c>
      <c r="K34" s="2" t="str">
        <f>IF(H34="","",VLOOKUP(H34,[1]ISO辞書!A:B,2,FALSE))</f>
        <v/>
      </c>
      <c r="L34" s="2" t="str">
        <f>IF(I34="","",VLOOKUP(I34,[1]ISO辞書!A:B,2,FALSE))</f>
        <v/>
      </c>
      <c r="M34" s="3" t="str">
        <f t="shared" si="0"/>
        <v/>
      </c>
    </row>
    <row r="35" spans="1:13">
      <c r="A35" s="2" t="str">
        <f>IF(C35="","",VLOOKUP(C35,[1]ISO辞書!A:C,2,FALSE))</f>
        <v/>
      </c>
      <c r="B35" s="3" t="str">
        <f>IF(C35="","",VLOOKUP(C35,[1]ISO辞書!A:C,3,FALSE))</f>
        <v/>
      </c>
      <c r="J35" s="2" t="str">
        <f>IF(G35="","",VLOOKUP(G35,[1]ISO辞書!A:B,2,FALSE))</f>
        <v/>
      </c>
      <c r="K35" s="2" t="str">
        <f>IF(H35="","",VLOOKUP(H35,[1]ISO辞書!A:B,2,FALSE))</f>
        <v/>
      </c>
      <c r="L35" s="2" t="str">
        <f>IF(I35="","",VLOOKUP(I35,[1]ISO辞書!A:B,2,FALSE))</f>
        <v/>
      </c>
      <c r="M35" s="3" t="str">
        <f t="shared" si="0"/>
        <v/>
      </c>
    </row>
    <row r="36" spans="1:13">
      <c r="A36" s="2" t="str">
        <f>IF(C36="","",VLOOKUP(C36,[1]ISO辞書!A:C,2,FALSE))</f>
        <v/>
      </c>
      <c r="B36" s="3" t="str">
        <f>IF(C36="","",VLOOKUP(C36,[1]ISO辞書!A:C,3,FALSE))</f>
        <v/>
      </c>
      <c r="J36" s="2" t="str">
        <f>IF(G36="","",VLOOKUP(G36,[1]ISO辞書!A:B,2,FALSE))</f>
        <v/>
      </c>
      <c r="K36" s="2" t="str">
        <f>IF(H36="","",VLOOKUP(H36,[1]ISO辞書!A:B,2,FALSE))</f>
        <v/>
      </c>
      <c r="L36" s="2" t="str">
        <f>IF(I36="","",VLOOKUP(I36,[1]ISO辞書!A:B,2,FALSE))</f>
        <v/>
      </c>
      <c r="M36" s="3" t="str">
        <f t="shared" si="0"/>
        <v/>
      </c>
    </row>
    <row r="37" spans="1:13">
      <c r="A37" s="2" t="str">
        <f>IF(C37="","",VLOOKUP(C37,[1]ISO辞書!A:C,2,FALSE))</f>
        <v/>
      </c>
      <c r="B37" s="3" t="str">
        <f>IF(C37="","",VLOOKUP(C37,[1]ISO辞書!A:C,3,FALSE))</f>
        <v/>
      </c>
      <c r="J37" s="2" t="str">
        <f>IF(G37="","",VLOOKUP(G37,[1]ISO辞書!A:B,2,FALSE))</f>
        <v/>
      </c>
      <c r="K37" s="2" t="str">
        <f>IF(H37="","",VLOOKUP(H37,[1]ISO辞書!A:B,2,FALSE))</f>
        <v/>
      </c>
      <c r="L37" s="2" t="str">
        <f>IF(I37="","",VLOOKUP(I37,[1]ISO辞書!A:B,2,FALSE))</f>
        <v/>
      </c>
      <c r="M37" s="3" t="str">
        <f t="shared" si="0"/>
        <v/>
      </c>
    </row>
    <row r="38" spans="1:13">
      <c r="A38" s="2" t="str">
        <f>IF(C38="","",VLOOKUP(C38,[1]ISO辞書!A:C,2,FALSE))</f>
        <v/>
      </c>
      <c r="B38" s="3" t="str">
        <f>IF(C38="","",VLOOKUP(C38,[1]ISO辞書!A:C,3,FALSE))</f>
        <v/>
      </c>
      <c r="J38" s="2" t="str">
        <f>IF(G38="","",VLOOKUP(G38,[1]ISO辞書!A:B,2,FALSE))</f>
        <v/>
      </c>
      <c r="K38" s="2" t="str">
        <f>IF(H38="","",VLOOKUP(H38,[1]ISO辞書!A:B,2,FALSE))</f>
        <v/>
      </c>
      <c r="L38" s="2" t="str">
        <f>IF(I38="","",VLOOKUP(I38,[1]ISO辞書!A:B,2,FALSE))</f>
        <v/>
      </c>
      <c r="M38" s="3" t="str">
        <f t="shared" si="0"/>
        <v/>
      </c>
    </row>
    <row r="39" spans="1:13">
      <c r="A39" s="2" t="str">
        <f>IF(C39="","",VLOOKUP(C39,[1]ISO辞書!A:C,2,FALSE))</f>
        <v/>
      </c>
      <c r="J39" s="2" t="str">
        <f>IF(G39="","",VLOOKUP(G39,[1]ISO辞書!A:B,2,FALSE))</f>
        <v/>
      </c>
      <c r="K39" s="2" t="str">
        <f>IF(H39="","",VLOOKUP(H39,[1]ISO辞書!A:B,2,FALSE))</f>
        <v/>
      </c>
      <c r="L39" s="2" t="str">
        <f>IF(I39="","",VLOOKUP(I39,[1]ISO辞書!A:B,2,FALSE))</f>
        <v/>
      </c>
      <c r="M39" s="3" t="str">
        <f t="shared" si="0"/>
        <v/>
      </c>
    </row>
    <row r="40" spans="1:13">
      <c r="A40" s="2" t="str">
        <f>IF(C40="","",VLOOKUP(C40,[1]ISO辞書!A:C,2,FALSE))</f>
        <v/>
      </c>
      <c r="J40" s="2" t="str">
        <f>IF(G40="","",VLOOKUP(G40,[1]ISO辞書!A:B,2,FALSE))</f>
        <v/>
      </c>
      <c r="K40" s="2" t="str">
        <f>IF(H40="","",VLOOKUP(H40,[1]ISO辞書!A:B,2,FALSE))</f>
        <v/>
      </c>
      <c r="L40" s="2" t="str">
        <f>IF(I40="","",VLOOKUP(I40,[1]ISO辞書!A:B,2,FALSE))</f>
        <v/>
      </c>
      <c r="M40" s="3" t="str">
        <f t="shared" si="0"/>
        <v/>
      </c>
    </row>
    <row r="41" spans="1:13">
      <c r="A41" s="2" t="str">
        <f>IF(C41="","",VLOOKUP(C41,[1]ISO辞書!A:C,2,FALSE))</f>
        <v/>
      </c>
      <c r="J41" s="2" t="str">
        <f>IF(G41="","",VLOOKUP(G41,[1]ISO辞書!A:B,2,FALSE))</f>
        <v/>
      </c>
      <c r="K41" s="2" t="str">
        <f>IF(H41="","",VLOOKUP(H41,[1]ISO辞書!A:B,2,FALSE))</f>
        <v/>
      </c>
      <c r="L41" s="2" t="str">
        <f>IF(I41="","",VLOOKUP(I41,[1]ISO辞書!A:B,2,FALSE))</f>
        <v/>
      </c>
      <c r="M41" s="3" t="str">
        <f t="shared" si="0"/>
        <v/>
      </c>
    </row>
    <row r="42" spans="1:13">
      <c r="A42" s="2" t="str">
        <f>IF(C42="","",VLOOKUP(C42,[1]ISO辞書!A:C,2,FALSE))</f>
        <v/>
      </c>
      <c r="J42" s="2" t="str">
        <f>IF(G42="","",VLOOKUP(G42,[1]ISO辞書!A:B,2,FALSE))</f>
        <v/>
      </c>
      <c r="K42" s="2" t="str">
        <f>IF(H42="","",VLOOKUP(H42,[1]ISO辞書!A:B,2,FALSE))</f>
        <v/>
      </c>
      <c r="L42" s="2" t="str">
        <f>IF(I42="","",VLOOKUP(I42,[1]ISO辞書!A:B,2,FALSE))</f>
        <v/>
      </c>
      <c r="M42" s="3" t="str">
        <f t="shared" si="0"/>
        <v/>
      </c>
    </row>
    <row r="43" spans="1:13">
      <c r="J43" s="2" t="str">
        <f>IF(G43="","",VLOOKUP(G43,[1]ISO辞書!A:B,2,FALSE))</f>
        <v/>
      </c>
      <c r="K43" s="2" t="str">
        <f>IF(H43="","",VLOOKUP(H43,[1]ISO辞書!A:B,2,FALSE))</f>
        <v/>
      </c>
      <c r="L43" s="2" t="str">
        <f>IF(I43="","",VLOOKUP(I43,[1]ISO辞書!A:B,2,FALSE))</f>
        <v/>
      </c>
      <c r="M43" s="3" t="str">
        <f t="shared" si="0"/>
        <v/>
      </c>
    </row>
    <row r="44" spans="1:13">
      <c r="J44" s="2" t="str">
        <f>IF(G44="","",VLOOKUP(G44,[1]ISO辞書!A:B,2,FALSE))</f>
        <v/>
      </c>
      <c r="K44" s="2" t="str">
        <f>IF(H44="","",VLOOKUP(H44,[1]ISO辞書!A:B,2,FALSE))</f>
        <v/>
      </c>
      <c r="L44" s="2" t="str">
        <f>IF(I44="","",VLOOKUP(I44,[1]ISO辞書!A:B,2,FALSE))</f>
        <v/>
      </c>
      <c r="M44" s="3" t="str">
        <f t="shared" si="0"/>
        <v/>
      </c>
    </row>
    <row r="45" spans="1:13">
      <c r="J45" s="2" t="str">
        <f>IF(G45="","",VLOOKUP(G45,[1]ISO辞書!A:B,2,FALSE))</f>
        <v/>
      </c>
      <c r="K45" s="2" t="str">
        <f>IF(H45="","",VLOOKUP(H45,[1]ISO辞書!A:B,2,FALSE))</f>
        <v/>
      </c>
      <c r="L45" s="2" t="str">
        <f>IF(I45="","",VLOOKUP(I45,[1]ISO辞書!A:B,2,FALSE))</f>
        <v/>
      </c>
      <c r="M45" s="3" t="str">
        <f t="shared" si="0"/>
        <v/>
      </c>
    </row>
    <row r="46" spans="1:13">
      <c r="J46" s="2" t="str">
        <f>IF(G46="","",VLOOKUP(G46,[1]ISO辞書!A:B,2,FALSE))</f>
        <v/>
      </c>
      <c r="K46" s="2" t="str">
        <f>IF(H46="","",VLOOKUP(H46,[1]ISO辞書!A:B,2,FALSE))</f>
        <v/>
      </c>
      <c r="L46" s="2" t="str">
        <f>IF(I46="","",VLOOKUP(I46,[1]ISO辞書!A:B,2,FALSE))</f>
        <v/>
      </c>
      <c r="M46" s="3" t="str">
        <f t="shared" ref="M46:M48" si="1">_xlfn.TEXTJOIN(";",TRUE,J46:L46)</f>
        <v/>
      </c>
    </row>
    <row r="47" spans="1:13">
      <c r="J47" s="2" t="str">
        <f>IF(G47="","",VLOOKUP(G47,[1]ISO辞書!A:B,2,FALSE))</f>
        <v/>
      </c>
      <c r="K47" s="2" t="str">
        <f>IF(H47="","",VLOOKUP(H47,[1]ISO辞書!A:B,2,FALSE))</f>
        <v/>
      </c>
      <c r="L47" s="2" t="str">
        <f>IF(I47="","",VLOOKUP(I47,[1]ISO辞書!A:B,2,FALSE))</f>
        <v/>
      </c>
      <c r="M47" s="3" t="str">
        <f t="shared" si="1"/>
        <v/>
      </c>
    </row>
    <row r="48" spans="1:13">
      <c r="J48" s="2" t="str">
        <f>IF(G48="","",VLOOKUP(G48,[1]ISO辞書!A:B,2,FALSE))</f>
        <v/>
      </c>
      <c r="K48" s="2" t="str">
        <f>IF(H48="","",VLOOKUP(H48,[1]ISO辞書!A:B,2,FALSE))</f>
        <v/>
      </c>
      <c r="L48" s="2" t="str">
        <f>IF(I48="","",VLOOKUP(I48,[1]ISO辞書!A:B,2,FALSE))</f>
        <v/>
      </c>
      <c r="M48" s="3" t="str">
        <f t="shared" si="1"/>
        <v/>
      </c>
    </row>
  </sheetData>
  <phoneticPr fontId="18"/>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E7F94E9D-519F-49EF-B3EA-F00C0043148F}">
          <x14:formula1>
            <xm:f>リスト!$B$2:$B$18</xm:f>
          </x14:formula1>
          <xm:sqref>N2:N66</xm:sqref>
        </x14:dataValidation>
        <x14:dataValidation type="list" allowBlank="1" showInputMessage="1" showErrorMessage="1" xr:uid="{0BC0D9A9-2050-412E-B0EC-29E3DA783345}">
          <x14:formula1>
            <xm:f>リスト!$E$2:$E$16</xm:f>
          </x14:formula1>
          <xm:sqref>O2:O67</xm:sqref>
        </x14:dataValidation>
        <x14:dataValidation type="list" allowBlank="1" showInputMessage="1" showErrorMessage="1" xr:uid="{C45C6681-8921-4A45-B927-31B4905015CB}">
          <x14:formula1>
            <xm:f>リスト!$H$2:$H$6</xm:f>
          </x14:formula1>
          <xm:sqref>S2:S50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7A00-11D3-46D7-B2E7-58E59A80DCDF}">
  <dimension ref="B2:H18"/>
  <sheetViews>
    <sheetView workbookViewId="0">
      <selection activeCell="H7" sqref="H7"/>
    </sheetView>
  </sheetViews>
  <sheetFormatPr defaultRowHeight="18"/>
  <sheetData>
    <row r="2" spans="2:8">
      <c r="B2" t="s">
        <v>26</v>
      </c>
      <c r="E2" t="s">
        <v>21</v>
      </c>
      <c r="H2">
        <v>5</v>
      </c>
    </row>
    <row r="3" spans="2:8">
      <c r="B3" t="s">
        <v>27</v>
      </c>
      <c r="E3" t="s">
        <v>19</v>
      </c>
      <c r="H3">
        <v>4</v>
      </c>
    </row>
    <row r="4" spans="2:8">
      <c r="B4" t="s">
        <v>28</v>
      </c>
      <c r="E4" t="s">
        <v>23</v>
      </c>
      <c r="H4">
        <v>3</v>
      </c>
    </row>
    <row r="5" spans="2:8">
      <c r="B5" t="s">
        <v>29</v>
      </c>
      <c r="E5" t="s">
        <v>43</v>
      </c>
      <c r="H5">
        <v>2</v>
      </c>
    </row>
    <row r="6" spans="2:8">
      <c r="B6" t="s">
        <v>30</v>
      </c>
      <c r="E6" t="s">
        <v>44</v>
      </c>
      <c r="H6">
        <v>1</v>
      </c>
    </row>
    <row r="7" spans="2:8">
      <c r="B7" t="s">
        <v>31</v>
      </c>
      <c r="E7" t="s">
        <v>45</v>
      </c>
    </row>
    <row r="8" spans="2:8">
      <c r="B8" t="s">
        <v>32</v>
      </c>
      <c r="E8" t="s">
        <v>22</v>
      </c>
    </row>
    <row r="9" spans="2:8">
      <c r="B9" t="s">
        <v>33</v>
      </c>
      <c r="E9" t="s">
        <v>46</v>
      </c>
    </row>
    <row r="10" spans="2:8">
      <c r="B10" t="s">
        <v>34</v>
      </c>
      <c r="E10" t="s">
        <v>20</v>
      </c>
    </row>
    <row r="11" spans="2:8">
      <c r="B11" t="s">
        <v>35</v>
      </c>
      <c r="E11" t="s">
        <v>47</v>
      </c>
    </row>
    <row r="12" spans="2:8">
      <c r="B12" t="s">
        <v>36</v>
      </c>
      <c r="E12" t="s">
        <v>24</v>
      </c>
    </row>
    <row r="13" spans="2:8">
      <c r="B13" t="s">
        <v>37</v>
      </c>
      <c r="E13" t="s">
        <v>48</v>
      </c>
    </row>
    <row r="14" spans="2:8">
      <c r="B14" t="s">
        <v>38</v>
      </c>
      <c r="E14" t="s">
        <v>49</v>
      </c>
    </row>
    <row r="15" spans="2:8">
      <c r="B15" t="s">
        <v>39</v>
      </c>
      <c r="E15" t="s">
        <v>50</v>
      </c>
    </row>
    <row r="16" spans="2:8">
      <c r="B16" t="s">
        <v>40</v>
      </c>
      <c r="E16" t="s">
        <v>25</v>
      </c>
    </row>
    <row r="17" spans="2:2">
      <c r="B17" t="s">
        <v>41</v>
      </c>
    </row>
    <row r="18" spans="2:2">
      <c r="B18" t="s">
        <v>42</v>
      </c>
    </row>
  </sheetData>
  <phoneticPr fontId="18"/>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events-入力用</vt:lpstr>
      <vt:lpstr>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遠藤篤</dc:creator>
  <cp:lastModifiedBy>篤 遠藤</cp:lastModifiedBy>
  <dcterms:created xsi:type="dcterms:W3CDTF">2026-03-29T02:56:09Z</dcterms:created>
  <dcterms:modified xsi:type="dcterms:W3CDTF">2026-04-05T09:19:59Z</dcterms:modified>
</cp:coreProperties>
</file>