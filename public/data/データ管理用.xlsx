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G:\world_map_project\world-map-news-app\public\data\"/>
    </mc:Choice>
  </mc:AlternateContent>
  <xr:revisionPtr revIDLastSave="0" documentId="13_ncr:1_{5AC9F65A-D081-4E94-8CF6-CA5AFB3AA2A1}" xr6:coauthVersionLast="47" xr6:coauthVersionMax="47" xr10:uidLastSave="{00000000-0000-0000-0000-000000000000}"/>
  <bookViews>
    <workbookView xWindow="1272" yWindow="828" windowWidth="21540" windowHeight="12012" xr2:uid="{17EB953A-2661-4049-9616-0D3098A3DA36}"/>
  </bookViews>
  <sheets>
    <sheet name="events-入力用" sheetId="1" r:id="rId1"/>
  </sheets>
  <externalReferences>
    <externalReference r:id="rId2"/>
  </externalReferences>
  <definedNames>
    <definedName name="_xlnm._FilterDatabase" localSheetId="0" hidden="1">'events-入力用'!$A$1:$S$373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73" i="1" l="1"/>
  <c r="K373" i="1"/>
  <c r="J373" i="1"/>
  <c r="L372" i="1"/>
  <c r="K372" i="1"/>
  <c r="J372" i="1"/>
  <c r="L371" i="1"/>
  <c r="K371" i="1"/>
  <c r="J371" i="1"/>
  <c r="L370" i="1"/>
  <c r="K370" i="1"/>
  <c r="J370" i="1"/>
  <c r="L369" i="1"/>
  <c r="K369" i="1"/>
  <c r="J369" i="1"/>
  <c r="L368" i="1"/>
  <c r="K368" i="1"/>
  <c r="J368" i="1"/>
  <c r="L367" i="1"/>
  <c r="K367" i="1"/>
  <c r="J367" i="1"/>
  <c r="L366" i="1"/>
  <c r="K366" i="1"/>
  <c r="J366" i="1"/>
  <c r="L365" i="1"/>
  <c r="K365" i="1"/>
  <c r="J365" i="1"/>
  <c r="L364" i="1"/>
  <c r="K364" i="1"/>
  <c r="J364" i="1"/>
  <c r="L363" i="1"/>
  <c r="K363" i="1"/>
  <c r="J363" i="1"/>
  <c r="L362" i="1"/>
  <c r="K362" i="1"/>
  <c r="J362" i="1"/>
  <c r="L361" i="1"/>
  <c r="K361" i="1"/>
  <c r="J361" i="1"/>
  <c r="L360" i="1"/>
  <c r="K360" i="1"/>
  <c r="J360" i="1"/>
  <c r="L359" i="1"/>
  <c r="K359" i="1"/>
  <c r="J359" i="1"/>
  <c r="L358" i="1"/>
  <c r="K358" i="1"/>
  <c r="J358" i="1"/>
  <c r="L357" i="1"/>
  <c r="K357" i="1"/>
  <c r="J357" i="1"/>
  <c r="L356" i="1"/>
  <c r="K356" i="1"/>
  <c r="J356" i="1"/>
  <c r="L355" i="1"/>
  <c r="K355" i="1"/>
  <c r="J355" i="1"/>
  <c r="L354" i="1"/>
  <c r="K354" i="1"/>
  <c r="J354" i="1"/>
  <c r="L353" i="1"/>
  <c r="K353" i="1"/>
  <c r="J353" i="1"/>
  <c r="L352" i="1"/>
  <c r="K352" i="1"/>
  <c r="J352" i="1"/>
  <c r="L351" i="1"/>
  <c r="K351" i="1"/>
  <c r="J351" i="1"/>
  <c r="M351" i="1" s="1"/>
  <c r="L350" i="1"/>
  <c r="K350" i="1"/>
  <c r="J350" i="1"/>
  <c r="L349" i="1"/>
  <c r="K349" i="1"/>
  <c r="J349" i="1"/>
  <c r="L348" i="1"/>
  <c r="K348" i="1"/>
  <c r="J348" i="1"/>
  <c r="L347" i="1"/>
  <c r="K347" i="1"/>
  <c r="J347" i="1"/>
  <c r="L346" i="1"/>
  <c r="K346" i="1"/>
  <c r="J346" i="1"/>
  <c r="L345" i="1"/>
  <c r="K345" i="1"/>
  <c r="J345" i="1"/>
  <c r="L344" i="1"/>
  <c r="K344" i="1"/>
  <c r="J344" i="1"/>
  <c r="L343" i="1"/>
  <c r="K343" i="1"/>
  <c r="J343" i="1"/>
  <c r="L342" i="1"/>
  <c r="K342" i="1"/>
  <c r="J342" i="1"/>
  <c r="L341" i="1"/>
  <c r="K341" i="1"/>
  <c r="J341" i="1"/>
  <c r="L340" i="1"/>
  <c r="K340" i="1"/>
  <c r="J340" i="1"/>
  <c r="L339" i="1"/>
  <c r="K339" i="1"/>
  <c r="J339" i="1"/>
  <c r="L338" i="1"/>
  <c r="K338" i="1"/>
  <c r="J338" i="1"/>
  <c r="L337" i="1"/>
  <c r="K337" i="1"/>
  <c r="M337" i="1" s="1"/>
  <c r="J337" i="1"/>
  <c r="L336" i="1"/>
  <c r="K336" i="1"/>
  <c r="J336" i="1"/>
  <c r="L335" i="1"/>
  <c r="K335" i="1"/>
  <c r="J335" i="1"/>
  <c r="L334" i="1"/>
  <c r="K334" i="1"/>
  <c r="J334" i="1"/>
  <c r="L333" i="1"/>
  <c r="K333" i="1"/>
  <c r="J333" i="1"/>
  <c r="L332" i="1"/>
  <c r="K332" i="1"/>
  <c r="J332" i="1"/>
  <c r="L331" i="1"/>
  <c r="K331" i="1"/>
  <c r="J331" i="1"/>
  <c r="L330" i="1"/>
  <c r="K330" i="1"/>
  <c r="J330" i="1"/>
  <c r="L329" i="1"/>
  <c r="K329" i="1"/>
  <c r="J329" i="1"/>
  <c r="L328" i="1"/>
  <c r="K328" i="1"/>
  <c r="J328" i="1"/>
  <c r="L327" i="1"/>
  <c r="K327" i="1"/>
  <c r="J327" i="1"/>
  <c r="M327" i="1" s="1"/>
  <c r="L326" i="1"/>
  <c r="K326" i="1"/>
  <c r="J326" i="1"/>
  <c r="L325" i="1"/>
  <c r="K325" i="1"/>
  <c r="J325" i="1"/>
  <c r="L324" i="1"/>
  <c r="K324" i="1"/>
  <c r="J324" i="1"/>
  <c r="L323" i="1"/>
  <c r="K323" i="1"/>
  <c r="J323" i="1"/>
  <c r="L322" i="1"/>
  <c r="K322" i="1"/>
  <c r="J322" i="1"/>
  <c r="L321" i="1"/>
  <c r="K321" i="1"/>
  <c r="J321" i="1"/>
  <c r="L320" i="1"/>
  <c r="K320" i="1"/>
  <c r="J320" i="1"/>
  <c r="L319" i="1"/>
  <c r="K319" i="1"/>
  <c r="J319" i="1"/>
  <c r="L318" i="1"/>
  <c r="K318" i="1"/>
  <c r="J318" i="1"/>
  <c r="L317" i="1"/>
  <c r="K317" i="1"/>
  <c r="J317" i="1"/>
  <c r="L316" i="1"/>
  <c r="K316" i="1"/>
  <c r="J316" i="1"/>
  <c r="L315" i="1"/>
  <c r="K315" i="1"/>
  <c r="J315" i="1"/>
  <c r="L314" i="1"/>
  <c r="K314" i="1"/>
  <c r="J314" i="1"/>
  <c r="L313" i="1"/>
  <c r="K313" i="1"/>
  <c r="M313" i="1" s="1"/>
  <c r="J313" i="1"/>
  <c r="L312" i="1"/>
  <c r="K312" i="1"/>
  <c r="J312" i="1"/>
  <c r="L311" i="1"/>
  <c r="K311" i="1"/>
  <c r="J311" i="1"/>
  <c r="L310" i="1"/>
  <c r="K310" i="1"/>
  <c r="J310" i="1"/>
  <c r="L309" i="1"/>
  <c r="K309" i="1"/>
  <c r="J309" i="1"/>
  <c r="L308" i="1"/>
  <c r="K308" i="1"/>
  <c r="J308" i="1"/>
  <c r="L307" i="1"/>
  <c r="K307" i="1"/>
  <c r="J307" i="1"/>
  <c r="L306" i="1"/>
  <c r="K306" i="1"/>
  <c r="J306" i="1"/>
  <c r="L305" i="1"/>
  <c r="K305" i="1"/>
  <c r="J305" i="1"/>
  <c r="L304" i="1"/>
  <c r="K304" i="1"/>
  <c r="J304" i="1"/>
  <c r="L303" i="1"/>
  <c r="K303" i="1"/>
  <c r="J303" i="1"/>
  <c r="M303" i="1" s="1"/>
  <c r="L302" i="1"/>
  <c r="K302" i="1"/>
  <c r="J302" i="1"/>
  <c r="L301" i="1"/>
  <c r="K301" i="1"/>
  <c r="J301" i="1"/>
  <c r="L300" i="1"/>
  <c r="K300" i="1"/>
  <c r="J300" i="1"/>
  <c r="L299" i="1"/>
  <c r="K299" i="1"/>
  <c r="J299" i="1"/>
  <c r="L298" i="1"/>
  <c r="K298" i="1"/>
  <c r="J298" i="1"/>
  <c r="L297" i="1"/>
  <c r="K297" i="1"/>
  <c r="J297" i="1"/>
  <c r="L296" i="1"/>
  <c r="K296" i="1"/>
  <c r="J296" i="1"/>
  <c r="L295" i="1"/>
  <c r="K295" i="1"/>
  <c r="J295" i="1"/>
  <c r="L294" i="1"/>
  <c r="K294" i="1"/>
  <c r="J294" i="1"/>
  <c r="L293" i="1"/>
  <c r="K293" i="1"/>
  <c r="J293" i="1"/>
  <c r="L292" i="1"/>
  <c r="K292" i="1"/>
  <c r="J292" i="1"/>
  <c r="L291" i="1"/>
  <c r="K291" i="1"/>
  <c r="J291" i="1"/>
  <c r="L290" i="1"/>
  <c r="K290" i="1"/>
  <c r="J290" i="1"/>
  <c r="L289" i="1"/>
  <c r="K289" i="1"/>
  <c r="M289" i="1" s="1"/>
  <c r="J289" i="1"/>
  <c r="L288" i="1"/>
  <c r="K288" i="1"/>
  <c r="J288" i="1"/>
  <c r="L287" i="1"/>
  <c r="K287" i="1"/>
  <c r="J287" i="1"/>
  <c r="L286" i="1"/>
  <c r="K286" i="1"/>
  <c r="J286" i="1"/>
  <c r="L285" i="1"/>
  <c r="K285" i="1"/>
  <c r="J285" i="1"/>
  <c r="L284" i="1"/>
  <c r="K284" i="1"/>
  <c r="J284" i="1"/>
  <c r="L283" i="1"/>
  <c r="K283" i="1"/>
  <c r="J283" i="1"/>
  <c r="L282" i="1"/>
  <c r="K282" i="1"/>
  <c r="J282" i="1"/>
  <c r="L281" i="1"/>
  <c r="K281" i="1"/>
  <c r="J281" i="1"/>
  <c r="L280" i="1"/>
  <c r="K280" i="1"/>
  <c r="J280" i="1"/>
  <c r="L279" i="1"/>
  <c r="K279" i="1"/>
  <c r="J279" i="1"/>
  <c r="M279" i="1" s="1"/>
  <c r="L278" i="1"/>
  <c r="K278" i="1"/>
  <c r="J278" i="1"/>
  <c r="L277" i="1"/>
  <c r="K277" i="1"/>
  <c r="J277" i="1"/>
  <c r="L276" i="1"/>
  <c r="K276" i="1"/>
  <c r="J276" i="1"/>
  <c r="L275" i="1"/>
  <c r="K275" i="1"/>
  <c r="J275" i="1"/>
  <c r="L274" i="1"/>
  <c r="K274" i="1"/>
  <c r="J274" i="1"/>
  <c r="L273" i="1"/>
  <c r="K273" i="1"/>
  <c r="J273" i="1"/>
  <c r="L272" i="1"/>
  <c r="K272" i="1"/>
  <c r="J272" i="1"/>
  <c r="L271" i="1"/>
  <c r="K271" i="1"/>
  <c r="J271" i="1"/>
  <c r="L270" i="1"/>
  <c r="K270" i="1"/>
  <c r="J270" i="1"/>
  <c r="L269" i="1"/>
  <c r="K269" i="1"/>
  <c r="J269" i="1"/>
  <c r="L268" i="1"/>
  <c r="K268" i="1"/>
  <c r="J268" i="1"/>
  <c r="L267" i="1"/>
  <c r="K267" i="1"/>
  <c r="J267" i="1"/>
  <c r="L266" i="1"/>
  <c r="K266" i="1"/>
  <c r="J266" i="1"/>
  <c r="L265" i="1"/>
  <c r="K265" i="1"/>
  <c r="M265" i="1" s="1"/>
  <c r="J265" i="1"/>
  <c r="L264" i="1"/>
  <c r="K264" i="1"/>
  <c r="J264" i="1"/>
  <c r="L263" i="1"/>
  <c r="K263" i="1"/>
  <c r="J263" i="1"/>
  <c r="L262" i="1"/>
  <c r="K262" i="1"/>
  <c r="J262" i="1"/>
  <c r="L261" i="1"/>
  <c r="K261" i="1"/>
  <c r="J261" i="1"/>
  <c r="L260" i="1"/>
  <c r="K260" i="1"/>
  <c r="J260" i="1"/>
  <c r="L259" i="1"/>
  <c r="K259" i="1"/>
  <c r="J259" i="1"/>
  <c r="L258" i="1"/>
  <c r="K258" i="1"/>
  <c r="J258" i="1"/>
  <c r="L257" i="1"/>
  <c r="K257" i="1"/>
  <c r="J257" i="1"/>
  <c r="L256" i="1"/>
  <c r="K256" i="1"/>
  <c r="J256" i="1"/>
  <c r="L255" i="1"/>
  <c r="K255" i="1"/>
  <c r="J255" i="1"/>
  <c r="M255" i="1" s="1"/>
  <c r="L254" i="1"/>
  <c r="K254" i="1"/>
  <c r="J254" i="1"/>
  <c r="L253" i="1"/>
  <c r="K253" i="1"/>
  <c r="J253" i="1"/>
  <c r="L252" i="1"/>
  <c r="K252" i="1"/>
  <c r="J252" i="1"/>
  <c r="L251" i="1"/>
  <c r="K251" i="1"/>
  <c r="J251" i="1"/>
  <c r="L250" i="1"/>
  <c r="K250" i="1"/>
  <c r="J250" i="1"/>
  <c r="L249" i="1"/>
  <c r="K249" i="1"/>
  <c r="J249" i="1"/>
  <c r="L248" i="1"/>
  <c r="K248" i="1"/>
  <c r="J248" i="1"/>
  <c r="L247" i="1"/>
  <c r="K247" i="1"/>
  <c r="J247" i="1"/>
  <c r="L246" i="1"/>
  <c r="K246" i="1"/>
  <c r="J246" i="1"/>
  <c r="L245" i="1"/>
  <c r="K245" i="1"/>
  <c r="J245" i="1"/>
  <c r="L244" i="1"/>
  <c r="K244" i="1"/>
  <c r="J244" i="1"/>
  <c r="L243" i="1"/>
  <c r="K243" i="1"/>
  <c r="J243" i="1"/>
  <c r="L242" i="1"/>
  <c r="K242" i="1"/>
  <c r="J242" i="1"/>
  <c r="L241" i="1"/>
  <c r="K241" i="1"/>
  <c r="M241" i="1" s="1"/>
  <c r="J241" i="1"/>
  <c r="L240" i="1"/>
  <c r="K240" i="1"/>
  <c r="J240" i="1"/>
  <c r="L239" i="1"/>
  <c r="K239" i="1"/>
  <c r="J239" i="1"/>
  <c r="L238" i="1"/>
  <c r="K238" i="1"/>
  <c r="J238" i="1"/>
  <c r="L237" i="1"/>
  <c r="K237" i="1"/>
  <c r="J237" i="1"/>
  <c r="L236" i="1"/>
  <c r="K236" i="1"/>
  <c r="J236" i="1"/>
  <c r="L235" i="1"/>
  <c r="K235" i="1"/>
  <c r="J235" i="1"/>
  <c r="L234" i="1"/>
  <c r="K234" i="1"/>
  <c r="J234" i="1"/>
  <c r="L233" i="1"/>
  <c r="K233" i="1"/>
  <c r="J233" i="1"/>
  <c r="L232" i="1"/>
  <c r="K232" i="1"/>
  <c r="J232" i="1"/>
  <c r="L231" i="1"/>
  <c r="K231" i="1"/>
  <c r="J231" i="1"/>
  <c r="M231" i="1" s="1"/>
  <c r="L230" i="1"/>
  <c r="K230" i="1"/>
  <c r="J230" i="1"/>
  <c r="L229" i="1"/>
  <c r="K229" i="1"/>
  <c r="J229" i="1"/>
  <c r="L228" i="1"/>
  <c r="K228" i="1"/>
  <c r="J228" i="1"/>
  <c r="L227" i="1"/>
  <c r="K227" i="1"/>
  <c r="J227" i="1"/>
  <c r="L226" i="1"/>
  <c r="K226" i="1"/>
  <c r="J226" i="1"/>
  <c r="L225" i="1"/>
  <c r="K225" i="1"/>
  <c r="J225" i="1"/>
  <c r="L224" i="1"/>
  <c r="K224" i="1"/>
  <c r="J224" i="1"/>
  <c r="L223" i="1"/>
  <c r="K223" i="1"/>
  <c r="J223" i="1"/>
  <c r="L222" i="1"/>
  <c r="K222" i="1"/>
  <c r="J222" i="1"/>
  <c r="L221" i="1"/>
  <c r="K221" i="1"/>
  <c r="J221" i="1"/>
  <c r="L220" i="1"/>
  <c r="K220" i="1"/>
  <c r="J220" i="1"/>
  <c r="L219" i="1"/>
  <c r="K219" i="1"/>
  <c r="J219" i="1"/>
  <c r="L218" i="1"/>
  <c r="K218" i="1"/>
  <c r="J218" i="1"/>
  <c r="L217" i="1"/>
  <c r="K217" i="1"/>
  <c r="M217" i="1" s="1"/>
  <c r="J217" i="1"/>
  <c r="L216" i="1"/>
  <c r="K216" i="1"/>
  <c r="J216" i="1"/>
  <c r="L215" i="1"/>
  <c r="K215" i="1"/>
  <c r="J215" i="1"/>
  <c r="L214" i="1"/>
  <c r="K214" i="1"/>
  <c r="J214" i="1"/>
  <c r="L213" i="1"/>
  <c r="K213" i="1"/>
  <c r="J213" i="1"/>
  <c r="L212" i="1"/>
  <c r="K212" i="1"/>
  <c r="J212" i="1"/>
  <c r="L211" i="1"/>
  <c r="K211" i="1"/>
  <c r="J211" i="1"/>
  <c r="L210" i="1"/>
  <c r="K210" i="1"/>
  <c r="J210" i="1"/>
  <c r="L209" i="1"/>
  <c r="K209" i="1"/>
  <c r="J209" i="1"/>
  <c r="L208" i="1"/>
  <c r="K208" i="1"/>
  <c r="J208" i="1"/>
  <c r="L207" i="1"/>
  <c r="K207" i="1"/>
  <c r="J207" i="1"/>
  <c r="M207" i="1" s="1"/>
  <c r="L206" i="1"/>
  <c r="K206" i="1"/>
  <c r="J206" i="1"/>
  <c r="L205" i="1"/>
  <c r="K205" i="1"/>
  <c r="J205" i="1"/>
  <c r="L204" i="1"/>
  <c r="K204" i="1"/>
  <c r="J204" i="1"/>
  <c r="L203" i="1"/>
  <c r="K203" i="1"/>
  <c r="J203" i="1"/>
  <c r="L202" i="1"/>
  <c r="K202" i="1"/>
  <c r="J202" i="1"/>
  <c r="L201" i="1"/>
  <c r="K201" i="1"/>
  <c r="J201" i="1"/>
  <c r="L200" i="1"/>
  <c r="K200" i="1"/>
  <c r="J200" i="1"/>
  <c r="L199" i="1"/>
  <c r="K199" i="1"/>
  <c r="J199" i="1"/>
  <c r="L198" i="1"/>
  <c r="K198" i="1"/>
  <c r="J198" i="1"/>
  <c r="L197" i="1"/>
  <c r="K197" i="1"/>
  <c r="J197" i="1"/>
  <c r="L196" i="1"/>
  <c r="K196" i="1"/>
  <c r="J196" i="1"/>
  <c r="L195" i="1"/>
  <c r="K195" i="1"/>
  <c r="J195" i="1"/>
  <c r="L194" i="1"/>
  <c r="K194" i="1"/>
  <c r="J194" i="1"/>
  <c r="L193" i="1"/>
  <c r="K193" i="1"/>
  <c r="M193" i="1" s="1"/>
  <c r="J193" i="1"/>
  <c r="L192" i="1"/>
  <c r="K192" i="1"/>
  <c r="J192" i="1"/>
  <c r="L191" i="1"/>
  <c r="K191" i="1"/>
  <c r="J191" i="1"/>
  <c r="L190" i="1"/>
  <c r="K190" i="1"/>
  <c r="J190" i="1"/>
  <c r="L189" i="1"/>
  <c r="K189" i="1"/>
  <c r="J189" i="1"/>
  <c r="L188" i="1"/>
  <c r="K188" i="1"/>
  <c r="J188" i="1"/>
  <c r="L187" i="1"/>
  <c r="K187" i="1"/>
  <c r="J187" i="1"/>
  <c r="L186" i="1"/>
  <c r="K186" i="1"/>
  <c r="J186" i="1"/>
  <c r="L185" i="1"/>
  <c r="K185" i="1"/>
  <c r="J185" i="1"/>
  <c r="L184" i="1"/>
  <c r="K184" i="1"/>
  <c r="J184" i="1"/>
  <c r="L183" i="1"/>
  <c r="K183" i="1"/>
  <c r="J183" i="1"/>
  <c r="M183" i="1" s="1"/>
  <c r="L182" i="1"/>
  <c r="K182" i="1"/>
  <c r="J182" i="1"/>
  <c r="L181" i="1"/>
  <c r="K181" i="1"/>
  <c r="J181" i="1"/>
  <c r="L180" i="1"/>
  <c r="K180" i="1"/>
  <c r="J180" i="1"/>
  <c r="L179" i="1"/>
  <c r="K179" i="1"/>
  <c r="J179" i="1"/>
  <c r="L178" i="1"/>
  <c r="K178" i="1"/>
  <c r="J178" i="1"/>
  <c r="L177" i="1"/>
  <c r="K177" i="1"/>
  <c r="J177" i="1"/>
  <c r="L176" i="1"/>
  <c r="K176" i="1"/>
  <c r="J176" i="1"/>
  <c r="L175" i="1"/>
  <c r="K175" i="1"/>
  <c r="J175" i="1"/>
  <c r="L174" i="1"/>
  <c r="K174" i="1"/>
  <c r="J174" i="1"/>
  <c r="L173" i="1"/>
  <c r="K173" i="1"/>
  <c r="J173" i="1"/>
  <c r="L172" i="1"/>
  <c r="K172" i="1"/>
  <c r="J172" i="1"/>
  <c r="L171" i="1"/>
  <c r="K171" i="1"/>
  <c r="J171" i="1"/>
  <c r="L170" i="1"/>
  <c r="K170" i="1"/>
  <c r="J170" i="1"/>
  <c r="L169" i="1"/>
  <c r="K169" i="1"/>
  <c r="M169" i="1" s="1"/>
  <c r="J169" i="1"/>
  <c r="L168" i="1"/>
  <c r="K168" i="1"/>
  <c r="J168" i="1"/>
  <c r="L167" i="1"/>
  <c r="K167" i="1"/>
  <c r="J167" i="1"/>
  <c r="L166" i="1"/>
  <c r="K166" i="1"/>
  <c r="J166" i="1"/>
  <c r="L165" i="1"/>
  <c r="K165" i="1"/>
  <c r="J165" i="1"/>
  <c r="L164" i="1"/>
  <c r="K164" i="1"/>
  <c r="J164" i="1"/>
  <c r="L163" i="1"/>
  <c r="K163" i="1"/>
  <c r="J163" i="1"/>
  <c r="L162" i="1"/>
  <c r="K162" i="1"/>
  <c r="J162" i="1"/>
  <c r="L161" i="1"/>
  <c r="K161" i="1"/>
  <c r="J161" i="1"/>
  <c r="L160" i="1"/>
  <c r="K160" i="1"/>
  <c r="J160" i="1"/>
  <c r="L159" i="1"/>
  <c r="K159" i="1"/>
  <c r="J159" i="1"/>
  <c r="M159" i="1" s="1"/>
  <c r="L158" i="1"/>
  <c r="K158" i="1"/>
  <c r="J158" i="1"/>
  <c r="L157" i="1"/>
  <c r="K157" i="1"/>
  <c r="J157" i="1"/>
  <c r="L156" i="1"/>
  <c r="K156" i="1"/>
  <c r="J156" i="1"/>
  <c r="L155" i="1"/>
  <c r="K155" i="1"/>
  <c r="J155" i="1"/>
  <c r="L154" i="1"/>
  <c r="K154" i="1"/>
  <c r="J154" i="1"/>
  <c r="L153" i="1"/>
  <c r="K153" i="1"/>
  <c r="J153" i="1"/>
  <c r="L152" i="1"/>
  <c r="K152" i="1"/>
  <c r="J152" i="1"/>
  <c r="L151" i="1"/>
  <c r="K151" i="1"/>
  <c r="J151" i="1"/>
  <c r="L150" i="1"/>
  <c r="K150" i="1"/>
  <c r="J150" i="1"/>
  <c r="L149" i="1"/>
  <c r="K149" i="1"/>
  <c r="J149" i="1"/>
  <c r="L148" i="1"/>
  <c r="K148" i="1"/>
  <c r="J148" i="1"/>
  <c r="L147" i="1"/>
  <c r="K147" i="1"/>
  <c r="J147" i="1"/>
  <c r="L146" i="1"/>
  <c r="K146" i="1"/>
  <c r="J146" i="1"/>
  <c r="L145" i="1"/>
  <c r="K145" i="1"/>
  <c r="M145" i="1" s="1"/>
  <c r="J145" i="1"/>
  <c r="L144" i="1"/>
  <c r="K144" i="1"/>
  <c r="J144" i="1"/>
  <c r="L143" i="1"/>
  <c r="K143" i="1"/>
  <c r="J143" i="1"/>
  <c r="L142" i="1"/>
  <c r="K142" i="1"/>
  <c r="J142" i="1"/>
  <c r="L141" i="1"/>
  <c r="K141" i="1"/>
  <c r="J141" i="1"/>
  <c r="L140" i="1"/>
  <c r="K140" i="1"/>
  <c r="J140" i="1"/>
  <c r="L139" i="1"/>
  <c r="K139" i="1"/>
  <c r="J139" i="1"/>
  <c r="L138" i="1"/>
  <c r="K138" i="1"/>
  <c r="J138" i="1"/>
  <c r="L137" i="1"/>
  <c r="K137" i="1"/>
  <c r="J137" i="1"/>
  <c r="L136" i="1"/>
  <c r="K136" i="1"/>
  <c r="J136" i="1"/>
  <c r="L135" i="1"/>
  <c r="K135" i="1"/>
  <c r="J135" i="1"/>
  <c r="M135" i="1" s="1"/>
  <c r="L134" i="1"/>
  <c r="K134" i="1"/>
  <c r="J134" i="1"/>
  <c r="L133" i="1"/>
  <c r="K133" i="1"/>
  <c r="J133" i="1"/>
  <c r="L132" i="1"/>
  <c r="K132" i="1"/>
  <c r="J132" i="1"/>
  <c r="L131" i="1"/>
  <c r="K131" i="1"/>
  <c r="J131" i="1"/>
  <c r="L130" i="1"/>
  <c r="K130" i="1"/>
  <c r="J130" i="1"/>
  <c r="L129" i="1"/>
  <c r="K129" i="1"/>
  <c r="J129" i="1"/>
  <c r="L128" i="1"/>
  <c r="K128" i="1"/>
  <c r="J128" i="1"/>
  <c r="L127" i="1"/>
  <c r="K127" i="1"/>
  <c r="J127" i="1"/>
  <c r="L126" i="1"/>
  <c r="K126" i="1"/>
  <c r="J126" i="1"/>
  <c r="L125" i="1"/>
  <c r="K125" i="1"/>
  <c r="J125" i="1"/>
  <c r="L124" i="1"/>
  <c r="K124" i="1"/>
  <c r="J124" i="1"/>
  <c r="L123" i="1"/>
  <c r="K123" i="1"/>
  <c r="J123" i="1"/>
  <c r="L122" i="1"/>
  <c r="K122" i="1"/>
  <c r="J122" i="1"/>
  <c r="L121" i="1"/>
  <c r="K121" i="1"/>
  <c r="M121" i="1" s="1"/>
  <c r="J121" i="1"/>
  <c r="L120" i="1"/>
  <c r="K120" i="1"/>
  <c r="J120" i="1"/>
  <c r="L115" i="1"/>
  <c r="K115" i="1"/>
  <c r="J115" i="1"/>
  <c r="L114" i="1"/>
  <c r="K114" i="1"/>
  <c r="J114" i="1"/>
  <c r="L119" i="1"/>
  <c r="K119" i="1"/>
  <c r="J119" i="1"/>
  <c r="M119" i="1" s="1"/>
  <c r="L118" i="1"/>
  <c r="K118" i="1"/>
  <c r="J118" i="1"/>
  <c r="L113" i="1"/>
  <c r="K113" i="1"/>
  <c r="J113" i="1"/>
  <c r="L112" i="1"/>
  <c r="K112" i="1"/>
  <c r="J112" i="1"/>
  <c r="L117" i="1"/>
  <c r="K117" i="1"/>
  <c r="J117" i="1"/>
  <c r="L111" i="1"/>
  <c r="K111" i="1"/>
  <c r="J111" i="1"/>
  <c r="L116" i="1"/>
  <c r="K116" i="1"/>
  <c r="J116" i="1"/>
  <c r="M116" i="1" s="1"/>
  <c r="L98" i="1"/>
  <c r="K98" i="1"/>
  <c r="J98" i="1"/>
  <c r="L106" i="1"/>
  <c r="K106" i="1"/>
  <c r="J106" i="1"/>
  <c r="L105" i="1"/>
  <c r="K105" i="1"/>
  <c r="J105" i="1"/>
  <c r="L104" i="1"/>
  <c r="K104" i="1"/>
  <c r="J104" i="1"/>
  <c r="L103" i="1"/>
  <c r="K103" i="1"/>
  <c r="J103" i="1"/>
  <c r="L102" i="1"/>
  <c r="K102" i="1"/>
  <c r="J102" i="1"/>
  <c r="L101" i="1"/>
  <c r="K101" i="1"/>
  <c r="J101" i="1"/>
  <c r="L100" i="1"/>
  <c r="K100" i="1"/>
  <c r="J100" i="1"/>
  <c r="L110" i="1"/>
  <c r="K110" i="1"/>
  <c r="J110" i="1"/>
  <c r="L109" i="1"/>
  <c r="K109" i="1"/>
  <c r="J109" i="1"/>
  <c r="L99" i="1"/>
  <c r="K99" i="1"/>
  <c r="J99" i="1"/>
  <c r="L108" i="1"/>
  <c r="K108" i="1"/>
  <c r="J108" i="1"/>
  <c r="L107" i="1"/>
  <c r="K107" i="1"/>
  <c r="J107" i="1"/>
  <c r="L89" i="1"/>
  <c r="K89" i="1"/>
  <c r="J89" i="1"/>
  <c r="L91" i="1"/>
  <c r="K91" i="1"/>
  <c r="J91" i="1"/>
  <c r="L90" i="1"/>
  <c r="K90" i="1"/>
  <c r="J90" i="1"/>
  <c r="M90" i="1" s="1"/>
  <c r="L97" i="1"/>
  <c r="K97" i="1"/>
  <c r="J97" i="1"/>
  <c r="L96" i="1"/>
  <c r="K96" i="1"/>
  <c r="J96" i="1"/>
  <c r="L88" i="1"/>
  <c r="K88" i="1"/>
  <c r="J88" i="1"/>
  <c r="L81" i="1"/>
  <c r="K81" i="1"/>
  <c r="J81" i="1"/>
  <c r="L80" i="1"/>
  <c r="K80" i="1"/>
  <c r="J80" i="1"/>
  <c r="L63" i="1"/>
  <c r="K63" i="1"/>
  <c r="J63" i="1"/>
  <c r="L95" i="1"/>
  <c r="K95" i="1"/>
  <c r="J95" i="1"/>
  <c r="L71" i="1"/>
  <c r="K71" i="1"/>
  <c r="J71" i="1"/>
  <c r="M71" i="1" s="1"/>
  <c r="L70" i="1"/>
  <c r="K70" i="1"/>
  <c r="J70" i="1"/>
  <c r="L79" i="1"/>
  <c r="K79" i="1"/>
  <c r="J79" i="1"/>
  <c r="L78" i="1"/>
  <c r="K78" i="1"/>
  <c r="J78" i="1"/>
  <c r="M78" i="1" s="1"/>
  <c r="L87" i="1"/>
  <c r="K87" i="1"/>
  <c r="J87" i="1"/>
  <c r="L86" i="1"/>
  <c r="K86" i="1"/>
  <c r="J86" i="1"/>
  <c r="L85" i="1"/>
  <c r="K85" i="1"/>
  <c r="J85" i="1"/>
  <c r="L94" i="1"/>
  <c r="K94" i="1"/>
  <c r="J94" i="1"/>
  <c r="B372" i="1"/>
  <c r="A372" i="1"/>
  <c r="B371" i="1"/>
  <c r="A371" i="1"/>
  <c r="B370" i="1"/>
  <c r="A370" i="1"/>
  <c r="B369" i="1"/>
  <c r="A369" i="1"/>
  <c r="B368" i="1"/>
  <c r="A368" i="1"/>
  <c r="B367" i="1"/>
  <c r="A367" i="1"/>
  <c r="B366" i="1"/>
  <c r="A366" i="1"/>
  <c r="B365" i="1"/>
  <c r="A365" i="1"/>
  <c r="B364" i="1"/>
  <c r="A364" i="1"/>
  <c r="B363" i="1"/>
  <c r="A363" i="1"/>
  <c r="B362" i="1"/>
  <c r="A362" i="1"/>
  <c r="B361" i="1"/>
  <c r="A361" i="1"/>
  <c r="B360" i="1"/>
  <c r="A360" i="1"/>
  <c r="B359" i="1"/>
  <c r="A359" i="1"/>
  <c r="B358" i="1"/>
  <c r="A358" i="1"/>
  <c r="B357" i="1"/>
  <c r="A357" i="1"/>
  <c r="B356" i="1"/>
  <c r="A356" i="1"/>
  <c r="B355" i="1"/>
  <c r="A355" i="1"/>
  <c r="B354" i="1"/>
  <c r="A354" i="1"/>
  <c r="B353" i="1"/>
  <c r="A353" i="1"/>
  <c r="B352" i="1"/>
  <c r="A352" i="1"/>
  <c r="B351" i="1"/>
  <c r="A351" i="1"/>
  <c r="B350" i="1"/>
  <c r="A350" i="1"/>
  <c r="B349" i="1"/>
  <c r="A349" i="1"/>
  <c r="B348" i="1"/>
  <c r="A348" i="1"/>
  <c r="B347" i="1"/>
  <c r="A347" i="1"/>
  <c r="B346" i="1"/>
  <c r="A346" i="1"/>
  <c r="B345" i="1"/>
  <c r="A345" i="1"/>
  <c r="B344" i="1"/>
  <c r="A344" i="1"/>
  <c r="B343" i="1"/>
  <c r="A343" i="1"/>
  <c r="B342" i="1"/>
  <c r="A342" i="1"/>
  <c r="B341" i="1"/>
  <c r="A341" i="1"/>
  <c r="B340" i="1"/>
  <c r="A340" i="1"/>
  <c r="B339" i="1"/>
  <c r="A339" i="1"/>
  <c r="B338" i="1"/>
  <c r="A338" i="1"/>
  <c r="B337" i="1"/>
  <c r="A337" i="1"/>
  <c r="B336" i="1"/>
  <c r="A336" i="1"/>
  <c r="B335" i="1"/>
  <c r="A335" i="1"/>
  <c r="B334" i="1"/>
  <c r="A334" i="1"/>
  <c r="B333" i="1"/>
  <c r="A333" i="1"/>
  <c r="B332" i="1"/>
  <c r="A332" i="1"/>
  <c r="B331" i="1"/>
  <c r="A331" i="1"/>
  <c r="B330" i="1"/>
  <c r="A330" i="1"/>
  <c r="B329" i="1"/>
  <c r="A329" i="1"/>
  <c r="B328" i="1"/>
  <c r="A328" i="1"/>
  <c r="B327" i="1"/>
  <c r="A327" i="1"/>
  <c r="B326" i="1"/>
  <c r="A326" i="1"/>
  <c r="B325" i="1"/>
  <c r="A325" i="1"/>
  <c r="B324" i="1"/>
  <c r="A324" i="1"/>
  <c r="B323" i="1"/>
  <c r="A323" i="1"/>
  <c r="B322" i="1"/>
  <c r="A322" i="1"/>
  <c r="B321" i="1"/>
  <c r="A321" i="1"/>
  <c r="B320" i="1"/>
  <c r="A320" i="1"/>
  <c r="B319" i="1"/>
  <c r="A319" i="1"/>
  <c r="B318" i="1"/>
  <c r="A318" i="1"/>
  <c r="B317" i="1"/>
  <c r="A317" i="1"/>
  <c r="B316" i="1"/>
  <c r="A316" i="1"/>
  <c r="B315" i="1"/>
  <c r="A315" i="1"/>
  <c r="B314" i="1"/>
  <c r="A314" i="1"/>
  <c r="B313" i="1"/>
  <c r="A313" i="1"/>
  <c r="B312" i="1"/>
  <c r="A312" i="1"/>
  <c r="B311" i="1"/>
  <c r="A311" i="1"/>
  <c r="B310" i="1"/>
  <c r="A310" i="1"/>
  <c r="B309" i="1"/>
  <c r="A309" i="1"/>
  <c r="B308" i="1"/>
  <c r="A308" i="1"/>
  <c r="B307" i="1"/>
  <c r="A307" i="1"/>
  <c r="B306" i="1"/>
  <c r="A306" i="1"/>
  <c r="B305" i="1"/>
  <c r="A305" i="1"/>
  <c r="B304" i="1"/>
  <c r="A304" i="1"/>
  <c r="B303" i="1"/>
  <c r="A303" i="1"/>
  <c r="B302" i="1"/>
  <c r="A302" i="1"/>
  <c r="B301" i="1"/>
  <c r="A301" i="1"/>
  <c r="B300" i="1"/>
  <c r="A300" i="1"/>
  <c r="B299" i="1"/>
  <c r="A299" i="1"/>
  <c r="B298" i="1"/>
  <c r="A298" i="1"/>
  <c r="B297" i="1"/>
  <c r="A297" i="1"/>
  <c r="B296" i="1"/>
  <c r="A296" i="1"/>
  <c r="B295" i="1"/>
  <c r="A295" i="1"/>
  <c r="B294" i="1"/>
  <c r="A294" i="1"/>
  <c r="B293" i="1"/>
  <c r="A293" i="1"/>
  <c r="B292" i="1"/>
  <c r="A292" i="1"/>
  <c r="B291" i="1"/>
  <c r="A291" i="1"/>
  <c r="B290" i="1"/>
  <c r="A290" i="1"/>
  <c r="B289" i="1"/>
  <c r="A289" i="1"/>
  <c r="B288" i="1"/>
  <c r="A288" i="1"/>
  <c r="B287" i="1"/>
  <c r="A287" i="1"/>
  <c r="B286" i="1"/>
  <c r="A286" i="1"/>
  <c r="B285" i="1"/>
  <c r="A285" i="1"/>
  <c r="B284" i="1"/>
  <c r="A284" i="1"/>
  <c r="B283" i="1"/>
  <c r="A283" i="1"/>
  <c r="B282" i="1"/>
  <c r="A282" i="1"/>
  <c r="B281" i="1"/>
  <c r="A281" i="1"/>
  <c r="B280" i="1"/>
  <c r="A280" i="1"/>
  <c r="B279" i="1"/>
  <c r="A279" i="1"/>
  <c r="B278" i="1"/>
  <c r="A278" i="1"/>
  <c r="B277" i="1"/>
  <c r="A277" i="1"/>
  <c r="B276" i="1"/>
  <c r="A276" i="1"/>
  <c r="B275" i="1"/>
  <c r="A275" i="1"/>
  <c r="B274" i="1"/>
  <c r="A274" i="1"/>
  <c r="B273" i="1"/>
  <c r="A273" i="1"/>
  <c r="B272" i="1"/>
  <c r="A272" i="1"/>
  <c r="B271" i="1"/>
  <c r="A271" i="1"/>
  <c r="B270" i="1"/>
  <c r="A270" i="1"/>
  <c r="B269" i="1"/>
  <c r="A269" i="1"/>
  <c r="B268" i="1"/>
  <c r="A268" i="1"/>
  <c r="B267" i="1"/>
  <c r="A267" i="1"/>
  <c r="B266" i="1"/>
  <c r="A266" i="1"/>
  <c r="B265" i="1"/>
  <c r="A265" i="1"/>
  <c r="B264" i="1"/>
  <c r="A264" i="1"/>
  <c r="B263" i="1"/>
  <c r="A263" i="1"/>
  <c r="B262" i="1"/>
  <c r="A262" i="1"/>
  <c r="B261" i="1"/>
  <c r="A261" i="1"/>
  <c r="B260" i="1"/>
  <c r="A260" i="1"/>
  <c r="B259" i="1"/>
  <c r="A259" i="1"/>
  <c r="B258" i="1"/>
  <c r="A258" i="1"/>
  <c r="B257" i="1"/>
  <c r="A257" i="1"/>
  <c r="B256" i="1"/>
  <c r="A256" i="1"/>
  <c r="B255" i="1"/>
  <c r="A255" i="1"/>
  <c r="B254" i="1"/>
  <c r="A254" i="1"/>
  <c r="B253" i="1"/>
  <c r="A253" i="1"/>
  <c r="B252" i="1"/>
  <c r="A252" i="1"/>
  <c r="B251" i="1"/>
  <c r="A251" i="1"/>
  <c r="B250" i="1"/>
  <c r="A250" i="1"/>
  <c r="B249" i="1"/>
  <c r="A249" i="1"/>
  <c r="B248" i="1"/>
  <c r="A248" i="1"/>
  <c r="B247" i="1"/>
  <c r="A247" i="1"/>
  <c r="B246" i="1"/>
  <c r="A246" i="1"/>
  <c r="B245" i="1"/>
  <c r="A245" i="1"/>
  <c r="B244" i="1"/>
  <c r="A244" i="1"/>
  <c r="B243" i="1"/>
  <c r="A243" i="1"/>
  <c r="B242" i="1"/>
  <c r="A242" i="1"/>
  <c r="B241" i="1"/>
  <c r="A241" i="1"/>
  <c r="B240" i="1"/>
  <c r="A240" i="1"/>
  <c r="B239" i="1"/>
  <c r="A239" i="1"/>
  <c r="B238" i="1"/>
  <c r="A238" i="1"/>
  <c r="B237" i="1"/>
  <c r="A237" i="1"/>
  <c r="B236" i="1"/>
  <c r="A236" i="1"/>
  <c r="B235" i="1"/>
  <c r="A235" i="1"/>
  <c r="B234" i="1"/>
  <c r="A234" i="1"/>
  <c r="B233" i="1"/>
  <c r="A233" i="1"/>
  <c r="B232" i="1"/>
  <c r="A232" i="1"/>
  <c r="B231" i="1"/>
  <c r="A231" i="1"/>
  <c r="B230" i="1"/>
  <c r="A230" i="1"/>
  <c r="B229" i="1"/>
  <c r="A229" i="1"/>
  <c r="B228" i="1"/>
  <c r="A228" i="1"/>
  <c r="B227" i="1"/>
  <c r="A227" i="1"/>
  <c r="B226" i="1"/>
  <c r="A226" i="1"/>
  <c r="B225" i="1"/>
  <c r="A225" i="1"/>
  <c r="B224" i="1"/>
  <c r="A224" i="1"/>
  <c r="B223" i="1"/>
  <c r="A223" i="1"/>
  <c r="B222" i="1"/>
  <c r="A222" i="1"/>
  <c r="B221" i="1"/>
  <c r="A221" i="1"/>
  <c r="B220" i="1"/>
  <c r="A220" i="1"/>
  <c r="B219" i="1"/>
  <c r="A219" i="1"/>
  <c r="B218" i="1"/>
  <c r="A218" i="1"/>
  <c r="B217" i="1"/>
  <c r="A217" i="1"/>
  <c r="B216" i="1"/>
  <c r="A216" i="1"/>
  <c r="B215" i="1"/>
  <c r="A215" i="1"/>
  <c r="B214" i="1"/>
  <c r="A214" i="1"/>
  <c r="B213" i="1"/>
  <c r="A213" i="1"/>
  <c r="B212" i="1"/>
  <c r="A212" i="1"/>
  <c r="B211" i="1"/>
  <c r="A211" i="1"/>
  <c r="B210" i="1"/>
  <c r="A210" i="1"/>
  <c r="B209" i="1"/>
  <c r="A209" i="1"/>
  <c r="B208" i="1"/>
  <c r="A208" i="1"/>
  <c r="B207" i="1"/>
  <c r="A207" i="1"/>
  <c r="B206" i="1"/>
  <c r="A206" i="1"/>
  <c r="B205" i="1"/>
  <c r="A205" i="1"/>
  <c r="B204" i="1"/>
  <c r="A204" i="1"/>
  <c r="B203" i="1"/>
  <c r="A203" i="1"/>
  <c r="B202" i="1"/>
  <c r="A202" i="1"/>
  <c r="B201" i="1"/>
  <c r="A201" i="1"/>
  <c r="B200" i="1"/>
  <c r="A200" i="1"/>
  <c r="B199" i="1"/>
  <c r="A199" i="1"/>
  <c r="B198" i="1"/>
  <c r="A198" i="1"/>
  <c r="B197" i="1"/>
  <c r="A197" i="1"/>
  <c r="B196" i="1"/>
  <c r="A196" i="1"/>
  <c r="B195" i="1"/>
  <c r="A195" i="1"/>
  <c r="B194" i="1"/>
  <c r="A194" i="1"/>
  <c r="B193" i="1"/>
  <c r="A193" i="1"/>
  <c r="B192" i="1"/>
  <c r="A192" i="1"/>
  <c r="B191" i="1"/>
  <c r="A191" i="1"/>
  <c r="B190" i="1"/>
  <c r="A190" i="1"/>
  <c r="B189" i="1"/>
  <c r="A189" i="1"/>
  <c r="B188" i="1"/>
  <c r="A188" i="1"/>
  <c r="B187" i="1"/>
  <c r="A187" i="1"/>
  <c r="B186" i="1"/>
  <c r="A186" i="1"/>
  <c r="B185" i="1"/>
  <c r="A185" i="1"/>
  <c r="B184" i="1"/>
  <c r="A184" i="1"/>
  <c r="B183" i="1"/>
  <c r="A183" i="1"/>
  <c r="B182" i="1"/>
  <c r="A182" i="1"/>
  <c r="B181" i="1"/>
  <c r="A181" i="1"/>
  <c r="B180" i="1"/>
  <c r="A180" i="1"/>
  <c r="B179" i="1"/>
  <c r="A179" i="1"/>
  <c r="B178" i="1"/>
  <c r="A178" i="1"/>
  <c r="B177" i="1"/>
  <c r="A177" i="1"/>
  <c r="B176" i="1"/>
  <c r="A176" i="1"/>
  <c r="B175" i="1"/>
  <c r="A175" i="1"/>
  <c r="B174" i="1"/>
  <c r="A174" i="1"/>
  <c r="B173" i="1"/>
  <c r="A173" i="1"/>
  <c r="B172" i="1"/>
  <c r="A172" i="1"/>
  <c r="B171" i="1"/>
  <c r="A171" i="1"/>
  <c r="B170" i="1"/>
  <c r="A170" i="1"/>
  <c r="B169" i="1"/>
  <c r="A169" i="1"/>
  <c r="B168" i="1"/>
  <c r="A168" i="1"/>
  <c r="B167" i="1"/>
  <c r="A167" i="1"/>
  <c r="B166" i="1"/>
  <c r="A166" i="1"/>
  <c r="B165" i="1"/>
  <c r="A165" i="1"/>
  <c r="B164" i="1"/>
  <c r="A164" i="1"/>
  <c r="B163" i="1"/>
  <c r="A163" i="1"/>
  <c r="B162" i="1"/>
  <c r="A162" i="1"/>
  <c r="B161" i="1"/>
  <c r="A161" i="1"/>
  <c r="B160" i="1"/>
  <c r="A160" i="1"/>
  <c r="B159" i="1"/>
  <c r="A159" i="1"/>
  <c r="B158" i="1"/>
  <c r="A158" i="1"/>
  <c r="B157" i="1"/>
  <c r="A157" i="1"/>
  <c r="B156" i="1"/>
  <c r="A156" i="1"/>
  <c r="B155" i="1"/>
  <c r="A155" i="1"/>
  <c r="B154" i="1"/>
  <c r="A154" i="1"/>
  <c r="B153" i="1"/>
  <c r="A153" i="1"/>
  <c r="B152" i="1"/>
  <c r="A152" i="1"/>
  <c r="B151" i="1"/>
  <c r="A151" i="1"/>
  <c r="B150" i="1"/>
  <c r="A150" i="1"/>
  <c r="B149" i="1"/>
  <c r="A149" i="1"/>
  <c r="B148" i="1"/>
  <c r="A148" i="1"/>
  <c r="B147" i="1"/>
  <c r="A147" i="1"/>
  <c r="B146" i="1"/>
  <c r="A146" i="1"/>
  <c r="B145" i="1"/>
  <c r="A145" i="1"/>
  <c r="B144" i="1"/>
  <c r="A144" i="1"/>
  <c r="B143" i="1"/>
  <c r="A143" i="1"/>
  <c r="B142" i="1"/>
  <c r="A142" i="1"/>
  <c r="B141" i="1"/>
  <c r="A141" i="1"/>
  <c r="B140" i="1"/>
  <c r="A140" i="1"/>
  <c r="B139" i="1"/>
  <c r="A139" i="1"/>
  <c r="B138" i="1"/>
  <c r="A138" i="1"/>
  <c r="B137" i="1"/>
  <c r="A137" i="1"/>
  <c r="B136" i="1"/>
  <c r="A136" i="1"/>
  <c r="B135" i="1"/>
  <c r="A135" i="1"/>
  <c r="B134" i="1"/>
  <c r="A134" i="1"/>
  <c r="B133" i="1"/>
  <c r="A133" i="1"/>
  <c r="B132" i="1"/>
  <c r="A132" i="1"/>
  <c r="B131" i="1"/>
  <c r="A131" i="1"/>
  <c r="B130" i="1"/>
  <c r="A130" i="1"/>
  <c r="B129" i="1"/>
  <c r="A129" i="1"/>
  <c r="B128" i="1"/>
  <c r="A128" i="1"/>
  <c r="B127" i="1"/>
  <c r="A127" i="1"/>
  <c r="B126" i="1"/>
  <c r="A126" i="1"/>
  <c r="B125" i="1"/>
  <c r="A125" i="1"/>
  <c r="B124" i="1"/>
  <c r="A124" i="1"/>
  <c r="B123" i="1"/>
  <c r="A123" i="1"/>
  <c r="B122" i="1"/>
  <c r="A122" i="1"/>
  <c r="B121" i="1"/>
  <c r="A121" i="1"/>
  <c r="B120" i="1"/>
  <c r="A120" i="1"/>
  <c r="B115" i="1"/>
  <c r="A115" i="1"/>
  <c r="B114" i="1"/>
  <c r="A114" i="1"/>
  <c r="B119" i="1"/>
  <c r="A119" i="1"/>
  <c r="B118" i="1"/>
  <c r="A118" i="1"/>
  <c r="B113" i="1"/>
  <c r="A113" i="1"/>
  <c r="B112" i="1"/>
  <c r="A112" i="1"/>
  <c r="B117" i="1"/>
  <c r="A117" i="1"/>
  <c r="B111" i="1"/>
  <c r="A111" i="1"/>
  <c r="B116" i="1"/>
  <c r="A116" i="1"/>
  <c r="B98" i="1"/>
  <c r="A98" i="1"/>
  <c r="B106" i="1"/>
  <c r="A106" i="1"/>
  <c r="B105" i="1"/>
  <c r="A105" i="1"/>
  <c r="B104" i="1"/>
  <c r="A104" i="1"/>
  <c r="B103" i="1"/>
  <c r="A103" i="1"/>
  <c r="B102" i="1"/>
  <c r="A102" i="1"/>
  <c r="B101" i="1"/>
  <c r="A101" i="1"/>
  <c r="B100" i="1"/>
  <c r="A100" i="1"/>
  <c r="B110" i="1"/>
  <c r="A110" i="1"/>
  <c r="B109" i="1"/>
  <c r="A109" i="1"/>
  <c r="B99" i="1"/>
  <c r="A99" i="1"/>
  <c r="B108" i="1"/>
  <c r="A108" i="1"/>
  <c r="B107" i="1"/>
  <c r="A107" i="1"/>
  <c r="B89" i="1"/>
  <c r="A89" i="1"/>
  <c r="B91" i="1"/>
  <c r="A91" i="1"/>
  <c r="B90" i="1"/>
  <c r="A90" i="1"/>
  <c r="B97" i="1"/>
  <c r="A97" i="1"/>
  <c r="B96" i="1"/>
  <c r="A96" i="1"/>
  <c r="B88" i="1"/>
  <c r="A88" i="1"/>
  <c r="B81" i="1"/>
  <c r="A81" i="1"/>
  <c r="B80" i="1"/>
  <c r="A80" i="1"/>
  <c r="B63" i="1"/>
  <c r="A63" i="1"/>
  <c r="B95" i="1"/>
  <c r="A95" i="1"/>
  <c r="B71" i="1"/>
  <c r="A71" i="1"/>
  <c r="B70" i="1"/>
  <c r="A70" i="1"/>
  <c r="B79" i="1"/>
  <c r="A79" i="1"/>
  <c r="B78" i="1"/>
  <c r="A78" i="1"/>
  <c r="B87" i="1"/>
  <c r="A87" i="1"/>
  <c r="B86" i="1"/>
  <c r="A86" i="1"/>
  <c r="B85" i="1"/>
  <c r="A85" i="1"/>
  <c r="B94" i="1"/>
  <c r="A94" i="1"/>
  <c r="B93" i="1"/>
  <c r="A93" i="1"/>
  <c r="B92" i="1"/>
  <c r="A92" i="1"/>
  <c r="L93" i="1"/>
  <c r="K93" i="1"/>
  <c r="J93" i="1"/>
  <c r="L92" i="1"/>
  <c r="K92" i="1"/>
  <c r="J92" i="1"/>
  <c r="L69" i="1"/>
  <c r="K69" i="1"/>
  <c r="J69" i="1"/>
  <c r="B69" i="1"/>
  <c r="A69" i="1"/>
  <c r="L77" i="1"/>
  <c r="K77" i="1"/>
  <c r="J77" i="1"/>
  <c r="B77" i="1"/>
  <c r="A77" i="1"/>
  <c r="L62" i="1"/>
  <c r="K62" i="1"/>
  <c r="J62" i="1"/>
  <c r="B62" i="1"/>
  <c r="A62" i="1"/>
  <c r="L68" i="1"/>
  <c r="K68" i="1"/>
  <c r="J68" i="1"/>
  <c r="B68" i="1"/>
  <c r="A68" i="1"/>
  <c r="L67" i="1"/>
  <c r="K67" i="1"/>
  <c r="J67" i="1"/>
  <c r="M67" i="1" s="1"/>
  <c r="B67" i="1"/>
  <c r="A67" i="1"/>
  <c r="L76" i="1"/>
  <c r="K76" i="1"/>
  <c r="J76" i="1"/>
  <c r="B76" i="1"/>
  <c r="A76" i="1"/>
  <c r="L66" i="1"/>
  <c r="K66" i="1"/>
  <c r="J66" i="1"/>
  <c r="B66" i="1"/>
  <c r="A66" i="1"/>
  <c r="L61" i="1"/>
  <c r="K61" i="1"/>
  <c r="J61" i="1"/>
  <c r="B61" i="1"/>
  <c r="A61" i="1"/>
  <c r="L57" i="1"/>
  <c r="K57" i="1"/>
  <c r="J57" i="1"/>
  <c r="B57" i="1"/>
  <c r="A57" i="1"/>
  <c r="L60" i="1"/>
  <c r="K60" i="1"/>
  <c r="J60" i="1"/>
  <c r="B60" i="1"/>
  <c r="A60" i="1"/>
  <c r="L75" i="1"/>
  <c r="K75" i="1"/>
  <c r="J75" i="1"/>
  <c r="B75" i="1"/>
  <c r="A75" i="1"/>
  <c r="L74" i="1"/>
  <c r="K74" i="1"/>
  <c r="J74" i="1"/>
  <c r="B74" i="1"/>
  <c r="A74" i="1"/>
  <c r="L84" i="1"/>
  <c r="K84" i="1"/>
  <c r="J84" i="1"/>
  <c r="B84" i="1"/>
  <c r="A84" i="1"/>
  <c r="L83" i="1"/>
  <c r="K83" i="1"/>
  <c r="J83" i="1"/>
  <c r="B83" i="1"/>
  <c r="A83" i="1"/>
  <c r="L56" i="1"/>
  <c r="K56" i="1"/>
  <c r="J56" i="1"/>
  <c r="B56" i="1"/>
  <c r="A56" i="1"/>
  <c r="L59" i="1"/>
  <c r="K59" i="1"/>
  <c r="J59" i="1"/>
  <c r="M59" i="1" s="1"/>
  <c r="B59" i="1"/>
  <c r="A59" i="1"/>
  <c r="L65" i="1"/>
  <c r="K65" i="1"/>
  <c r="J65" i="1"/>
  <c r="B65" i="1"/>
  <c r="A65" i="1"/>
  <c r="L64" i="1"/>
  <c r="K64" i="1"/>
  <c r="J64" i="1"/>
  <c r="B64" i="1"/>
  <c r="A64" i="1"/>
  <c r="L73" i="1"/>
  <c r="K73" i="1"/>
  <c r="J73" i="1"/>
  <c r="B73" i="1"/>
  <c r="A73" i="1"/>
  <c r="L72" i="1"/>
  <c r="K72" i="1"/>
  <c r="J72" i="1"/>
  <c r="B72" i="1"/>
  <c r="A72" i="1"/>
  <c r="L82" i="1"/>
  <c r="K82" i="1"/>
  <c r="J82" i="1"/>
  <c r="B82" i="1"/>
  <c r="A82" i="1"/>
  <c r="M95" i="1" l="1"/>
  <c r="M91" i="1"/>
  <c r="M111" i="1"/>
  <c r="M120" i="1"/>
  <c r="M136" i="1"/>
  <c r="M144" i="1"/>
  <c r="M160" i="1"/>
  <c r="M168" i="1"/>
  <c r="M184" i="1"/>
  <c r="M192" i="1"/>
  <c r="M208" i="1"/>
  <c r="M216" i="1"/>
  <c r="M232" i="1"/>
  <c r="M240" i="1"/>
  <c r="M256" i="1"/>
  <c r="M264" i="1"/>
  <c r="M280" i="1"/>
  <c r="M288" i="1"/>
  <c r="M304" i="1"/>
  <c r="M312" i="1"/>
  <c r="M328" i="1"/>
  <c r="M336" i="1"/>
  <c r="M352" i="1"/>
  <c r="M360" i="1"/>
  <c r="M122" i="1"/>
  <c r="M146" i="1"/>
  <c r="M170" i="1"/>
  <c r="M194" i="1"/>
  <c r="M218" i="1"/>
  <c r="M242" i="1"/>
  <c r="M266" i="1"/>
  <c r="M290" i="1"/>
  <c r="M314" i="1"/>
  <c r="M338" i="1"/>
  <c r="M362" i="1"/>
  <c r="M87" i="1"/>
  <c r="M108" i="1"/>
  <c r="M131" i="1"/>
  <c r="M155" i="1"/>
  <c r="M179" i="1"/>
  <c r="M203" i="1"/>
  <c r="M227" i="1"/>
  <c r="M251" i="1"/>
  <c r="M275" i="1"/>
  <c r="M299" i="1"/>
  <c r="M323" i="1"/>
  <c r="M347" i="1"/>
  <c r="M371" i="1"/>
  <c r="M57" i="1"/>
  <c r="M93" i="1"/>
  <c r="M96" i="1"/>
  <c r="M141" i="1"/>
  <c r="M165" i="1"/>
  <c r="M189" i="1"/>
  <c r="M213" i="1"/>
  <c r="M237" i="1"/>
  <c r="M261" i="1"/>
  <c r="M285" i="1"/>
  <c r="M309" i="1"/>
  <c r="M333" i="1"/>
  <c r="M350" i="1"/>
  <c r="M85" i="1"/>
  <c r="M63" i="1"/>
  <c r="M361" i="1"/>
  <c r="M230" i="1"/>
  <c r="M70" i="1"/>
  <c r="M365" i="1"/>
  <c r="M158" i="1"/>
  <c r="M326" i="1"/>
  <c r="M134" i="1"/>
  <c r="M182" i="1"/>
  <c r="M206" i="1"/>
  <c r="M254" i="1"/>
  <c r="M302" i="1"/>
  <c r="M99" i="1"/>
  <c r="M105" i="1"/>
  <c r="M124" i="1"/>
  <c r="M132" i="1"/>
  <c r="M148" i="1"/>
  <c r="M156" i="1"/>
  <c r="M172" i="1"/>
  <c r="M180" i="1"/>
  <c r="M196" i="1"/>
  <c r="M204" i="1"/>
  <c r="M220" i="1"/>
  <c r="M228" i="1"/>
  <c r="M244" i="1"/>
  <c r="M252" i="1"/>
  <c r="M268" i="1"/>
  <c r="M276" i="1"/>
  <c r="M292" i="1"/>
  <c r="M300" i="1"/>
  <c r="M316" i="1"/>
  <c r="M324" i="1"/>
  <c r="M340" i="1"/>
  <c r="M348" i="1"/>
  <c r="M364" i="1"/>
  <c r="M373" i="1"/>
  <c r="M278" i="1"/>
  <c r="M64" i="1"/>
  <c r="M84" i="1"/>
  <c r="M127" i="1"/>
  <c r="M74" i="1"/>
  <c r="M97" i="1"/>
  <c r="M110" i="1"/>
  <c r="M114" i="1"/>
  <c r="M126" i="1"/>
  <c r="M142" i="1"/>
  <c r="M150" i="1"/>
  <c r="M166" i="1"/>
  <c r="M174" i="1"/>
  <c r="M190" i="1"/>
  <c r="M198" i="1"/>
  <c r="M214" i="1"/>
  <c r="M222" i="1"/>
  <c r="M238" i="1"/>
  <c r="M246" i="1"/>
  <c r="M262" i="1"/>
  <c r="M270" i="1"/>
  <c r="M286" i="1"/>
  <c r="M294" i="1"/>
  <c r="M310" i="1"/>
  <c r="M318" i="1"/>
  <c r="M334" i="1"/>
  <c r="M342" i="1"/>
  <c r="M358" i="1"/>
  <c r="M366" i="1"/>
  <c r="M129" i="1"/>
  <c r="M153" i="1"/>
  <c r="M177" i="1"/>
  <c r="M201" i="1"/>
  <c r="M225" i="1"/>
  <c r="M249" i="1"/>
  <c r="M273" i="1"/>
  <c r="M297" i="1"/>
  <c r="M321" i="1"/>
  <c r="M345" i="1"/>
  <c r="M369" i="1"/>
  <c r="M191" i="1"/>
  <c r="M263" i="1"/>
  <c r="M94" i="1"/>
  <c r="M152" i="1"/>
  <c r="M176" i="1"/>
  <c r="M224" i="1"/>
  <c r="M248" i="1"/>
  <c r="M272" i="1"/>
  <c r="M296" i="1"/>
  <c r="M320" i="1"/>
  <c r="M117" i="1"/>
  <c r="M209" i="1"/>
  <c r="M257" i="1"/>
  <c r="M86" i="1"/>
  <c r="M80" i="1"/>
  <c r="M103" i="1"/>
  <c r="M112" i="1"/>
  <c r="M130" i="1"/>
  <c r="M138" i="1"/>
  <c r="M154" i="1"/>
  <c r="M162" i="1"/>
  <c r="M178" i="1"/>
  <c r="M186" i="1"/>
  <c r="M202" i="1"/>
  <c r="M210" i="1"/>
  <c r="M226" i="1"/>
  <c r="M234" i="1"/>
  <c r="M250" i="1"/>
  <c r="M258" i="1"/>
  <c r="M274" i="1"/>
  <c r="M282" i="1"/>
  <c r="M298" i="1"/>
  <c r="M306" i="1"/>
  <c r="M322" i="1"/>
  <c r="M330" i="1"/>
  <c r="M346" i="1"/>
  <c r="M354" i="1"/>
  <c r="M370" i="1"/>
  <c r="M175" i="1"/>
  <c r="M247" i="1"/>
  <c r="M295" i="1"/>
  <c r="M367" i="1"/>
  <c r="M128" i="1"/>
  <c r="M161" i="1"/>
  <c r="M233" i="1"/>
  <c r="M281" i="1"/>
  <c r="M83" i="1"/>
  <c r="M143" i="1"/>
  <c r="M167" i="1"/>
  <c r="M239" i="1"/>
  <c r="M335" i="1"/>
  <c r="M368" i="1"/>
  <c r="M353" i="1"/>
  <c r="M123" i="1"/>
  <c r="M147" i="1"/>
  <c r="M171" i="1"/>
  <c r="M195" i="1"/>
  <c r="M219" i="1"/>
  <c r="M243" i="1"/>
  <c r="M267" i="1"/>
  <c r="M291" i="1"/>
  <c r="M315" i="1"/>
  <c r="M339" i="1"/>
  <c r="M363" i="1"/>
  <c r="M215" i="1"/>
  <c r="M311" i="1"/>
  <c r="M359" i="1"/>
  <c r="M137" i="1"/>
  <c r="M68" i="1"/>
  <c r="M81" i="1"/>
  <c r="M113" i="1"/>
  <c r="M139" i="1"/>
  <c r="M163" i="1"/>
  <c r="M187" i="1"/>
  <c r="M211" i="1"/>
  <c r="M235" i="1"/>
  <c r="M259" i="1"/>
  <c r="M283" i="1"/>
  <c r="M307" i="1"/>
  <c r="M331" i="1"/>
  <c r="M355" i="1"/>
  <c r="M329" i="1"/>
  <c r="M151" i="1"/>
  <c r="M372" i="1"/>
  <c r="M344" i="1"/>
  <c r="M185" i="1"/>
  <c r="M88" i="1"/>
  <c r="M118" i="1"/>
  <c r="M140" i="1"/>
  <c r="M164" i="1"/>
  <c r="M188" i="1"/>
  <c r="M212" i="1"/>
  <c r="M236" i="1"/>
  <c r="M260" i="1"/>
  <c r="M284" i="1"/>
  <c r="M308" i="1"/>
  <c r="M332" i="1"/>
  <c r="M356" i="1"/>
  <c r="M199" i="1"/>
  <c r="M343" i="1"/>
  <c r="M115" i="1"/>
  <c r="M287" i="1"/>
  <c r="M200" i="1"/>
  <c r="M357" i="1"/>
  <c r="M89" i="1"/>
  <c r="M79" i="1"/>
  <c r="M133" i="1"/>
  <c r="M157" i="1"/>
  <c r="M181" i="1"/>
  <c r="M205" i="1"/>
  <c r="M229" i="1"/>
  <c r="M253" i="1"/>
  <c r="M277" i="1"/>
  <c r="M301" i="1"/>
  <c r="M325" i="1"/>
  <c r="M349" i="1"/>
  <c r="M223" i="1"/>
  <c r="M271" i="1"/>
  <c r="M319" i="1"/>
  <c r="M92" i="1"/>
  <c r="M305" i="1"/>
  <c r="M125" i="1"/>
  <c r="M149" i="1"/>
  <c r="M173" i="1"/>
  <c r="M197" i="1"/>
  <c r="M221" i="1"/>
  <c r="M245" i="1"/>
  <c r="M269" i="1"/>
  <c r="M293" i="1"/>
  <c r="M317" i="1"/>
  <c r="M341" i="1"/>
  <c r="M107" i="1"/>
  <c r="M104" i="1"/>
  <c r="M100" i="1"/>
  <c r="M101" i="1"/>
  <c r="M102" i="1"/>
  <c r="M98" i="1"/>
  <c r="M106" i="1"/>
  <c r="M109" i="1"/>
  <c r="M60" i="1"/>
  <c r="M76" i="1"/>
  <c r="M62" i="1"/>
  <c r="M65" i="1"/>
  <c r="M75" i="1"/>
  <c r="M77" i="1"/>
  <c r="M56" i="1"/>
  <c r="M72" i="1"/>
  <c r="M61" i="1"/>
  <c r="M82" i="1"/>
  <c r="M66" i="1"/>
  <c r="M69" i="1"/>
  <c r="M73" i="1"/>
  <c r="L55" i="1"/>
  <c r="K55" i="1"/>
  <c r="J55" i="1"/>
  <c r="B55" i="1"/>
  <c r="A55" i="1"/>
  <c r="L45" i="1"/>
  <c r="K45" i="1"/>
  <c r="J45" i="1"/>
  <c r="B45" i="1"/>
  <c r="A45" i="1"/>
  <c r="L44" i="1"/>
  <c r="K44" i="1"/>
  <c r="J44" i="1"/>
  <c r="B44" i="1"/>
  <c r="A44" i="1"/>
  <c r="L43" i="1"/>
  <c r="K43" i="1"/>
  <c r="J43" i="1"/>
  <c r="B43" i="1"/>
  <c r="A43" i="1"/>
  <c r="L35" i="1"/>
  <c r="K35" i="1"/>
  <c r="J35" i="1"/>
  <c r="B35" i="1"/>
  <c r="A35" i="1"/>
  <c r="L42" i="1"/>
  <c r="K42" i="1"/>
  <c r="J42" i="1"/>
  <c r="B42" i="1"/>
  <c r="A42" i="1"/>
  <c r="L54" i="1"/>
  <c r="K54" i="1"/>
  <c r="J54" i="1"/>
  <c r="B54" i="1"/>
  <c r="A54" i="1"/>
  <c r="L58" i="1"/>
  <c r="K58" i="1"/>
  <c r="J58" i="1"/>
  <c r="B58" i="1"/>
  <c r="A58" i="1"/>
  <c r="L53" i="1"/>
  <c r="K53" i="1"/>
  <c r="J53" i="1"/>
  <c r="B53" i="1"/>
  <c r="A53" i="1"/>
  <c r="L52" i="1"/>
  <c r="K52" i="1"/>
  <c r="J52" i="1"/>
  <c r="B52" i="1"/>
  <c r="A52" i="1"/>
  <c r="L41" i="1"/>
  <c r="K41" i="1"/>
  <c r="J41" i="1"/>
  <c r="B41" i="1"/>
  <c r="A41" i="1"/>
  <c r="L40" i="1"/>
  <c r="K40" i="1"/>
  <c r="J40" i="1"/>
  <c r="B40" i="1"/>
  <c r="A40" i="1"/>
  <c r="L39" i="1"/>
  <c r="K39" i="1"/>
  <c r="J39" i="1"/>
  <c r="B39" i="1"/>
  <c r="A39" i="1"/>
  <c r="L32" i="1"/>
  <c r="K32" i="1"/>
  <c r="J32" i="1"/>
  <c r="B32" i="1"/>
  <c r="A32" i="1"/>
  <c r="L51" i="1"/>
  <c r="K51" i="1"/>
  <c r="J51" i="1"/>
  <c r="B51" i="1"/>
  <c r="A51" i="1"/>
  <c r="L50" i="1"/>
  <c r="K50" i="1"/>
  <c r="J50" i="1"/>
  <c r="B50" i="1"/>
  <c r="A50" i="1"/>
  <c r="L38" i="1"/>
  <c r="K38" i="1"/>
  <c r="J38" i="1"/>
  <c r="B38" i="1"/>
  <c r="A38" i="1"/>
  <c r="L34" i="1"/>
  <c r="K34" i="1"/>
  <c r="J34" i="1"/>
  <c r="B34" i="1"/>
  <c r="A34" i="1"/>
  <c r="L49" i="1"/>
  <c r="K49" i="1"/>
  <c r="J49" i="1"/>
  <c r="B49" i="1"/>
  <c r="A49" i="1"/>
  <c r="L48" i="1"/>
  <c r="K48" i="1"/>
  <c r="J48" i="1"/>
  <c r="B48" i="1"/>
  <c r="A48" i="1"/>
  <c r="L37" i="1"/>
  <c r="K37" i="1"/>
  <c r="J37" i="1"/>
  <c r="B37" i="1"/>
  <c r="A37" i="1"/>
  <c r="L47" i="1"/>
  <c r="K47" i="1"/>
  <c r="J47" i="1"/>
  <c r="B47" i="1"/>
  <c r="A47" i="1"/>
  <c r="L46" i="1"/>
  <c r="K46" i="1"/>
  <c r="J46" i="1"/>
  <c r="B46" i="1"/>
  <c r="A46" i="1"/>
  <c r="L36" i="1"/>
  <c r="K36" i="1"/>
  <c r="J36" i="1"/>
  <c r="B36" i="1"/>
  <c r="A36" i="1"/>
  <c r="L7" i="1"/>
  <c r="K7" i="1"/>
  <c r="J7" i="1"/>
  <c r="B7" i="1"/>
  <c r="A7" i="1"/>
  <c r="L2" i="1"/>
  <c r="K2" i="1"/>
  <c r="J2" i="1"/>
  <c r="B2" i="1"/>
  <c r="A2" i="1"/>
  <c r="L6" i="1"/>
  <c r="K6" i="1"/>
  <c r="J6" i="1"/>
  <c r="B6" i="1"/>
  <c r="A6" i="1"/>
  <c r="L10" i="1"/>
  <c r="K10" i="1"/>
  <c r="J10" i="1"/>
  <c r="L15" i="1"/>
  <c r="K15" i="1"/>
  <c r="J15" i="1"/>
  <c r="L28" i="1"/>
  <c r="K28" i="1"/>
  <c r="J28" i="1"/>
  <c r="L14" i="1"/>
  <c r="K14" i="1"/>
  <c r="J14" i="1"/>
  <c r="L9" i="1"/>
  <c r="K9" i="1"/>
  <c r="J9" i="1"/>
  <c r="L31" i="1"/>
  <c r="K31" i="1"/>
  <c r="J31" i="1"/>
  <c r="L13" i="1"/>
  <c r="K13" i="1"/>
  <c r="J13" i="1"/>
  <c r="L12" i="1"/>
  <c r="K12" i="1"/>
  <c r="J12" i="1"/>
  <c r="L20" i="1"/>
  <c r="K20" i="1"/>
  <c r="J20" i="1"/>
  <c r="L27" i="1"/>
  <c r="K27" i="1"/>
  <c r="J27" i="1"/>
  <c r="L5" i="1"/>
  <c r="K5" i="1"/>
  <c r="J5" i="1"/>
  <c r="L8" i="1"/>
  <c r="K8" i="1"/>
  <c r="J8" i="1"/>
  <c r="L19" i="1"/>
  <c r="K19" i="1"/>
  <c r="J19" i="1"/>
  <c r="L18" i="1"/>
  <c r="K18" i="1"/>
  <c r="J18" i="1"/>
  <c r="L17" i="1"/>
  <c r="K17" i="1"/>
  <c r="J17" i="1"/>
  <c r="L26" i="1"/>
  <c r="K26" i="1"/>
  <c r="J26" i="1"/>
  <c r="L30" i="1"/>
  <c r="K30" i="1"/>
  <c r="J30" i="1"/>
  <c r="L25" i="1"/>
  <c r="K25" i="1"/>
  <c r="J25" i="1"/>
  <c r="L29" i="1"/>
  <c r="K29" i="1"/>
  <c r="J29" i="1"/>
  <c r="L33" i="1"/>
  <c r="K33" i="1"/>
  <c r="J33" i="1"/>
  <c r="L4" i="1"/>
  <c r="K4" i="1"/>
  <c r="J4" i="1"/>
  <c r="L16" i="1"/>
  <c r="K16" i="1"/>
  <c r="J16" i="1"/>
  <c r="L11" i="1"/>
  <c r="K11" i="1"/>
  <c r="J11" i="1"/>
  <c r="L24" i="1"/>
  <c r="K24" i="1"/>
  <c r="J24" i="1"/>
  <c r="L23" i="1"/>
  <c r="K23" i="1"/>
  <c r="J23" i="1"/>
  <c r="L22" i="1"/>
  <c r="K22" i="1"/>
  <c r="J22" i="1"/>
  <c r="L21" i="1"/>
  <c r="K21" i="1"/>
  <c r="J21" i="1"/>
  <c r="L3" i="1"/>
  <c r="K3" i="1"/>
  <c r="J3" i="1"/>
  <c r="B10" i="1"/>
  <c r="B15" i="1"/>
  <c r="B28" i="1"/>
  <c r="B14" i="1"/>
  <c r="B9" i="1"/>
  <c r="B31" i="1"/>
  <c r="B13" i="1"/>
  <c r="B12" i="1"/>
  <c r="B20" i="1"/>
  <c r="B27" i="1"/>
  <c r="B5" i="1"/>
  <c r="B8" i="1"/>
  <c r="B19" i="1"/>
  <c r="B18" i="1"/>
  <c r="B17" i="1"/>
  <c r="B26" i="1"/>
  <c r="B30" i="1"/>
  <c r="B25" i="1"/>
  <c r="B29" i="1"/>
  <c r="B33" i="1"/>
  <c r="B4" i="1"/>
  <c r="B16" i="1"/>
  <c r="B11" i="1"/>
  <c r="B24" i="1"/>
  <c r="B23" i="1"/>
  <c r="B22" i="1"/>
  <c r="B21" i="1"/>
  <c r="B3" i="1"/>
  <c r="A10" i="1"/>
  <c r="A15" i="1"/>
  <c r="A28" i="1"/>
  <c r="A14" i="1"/>
  <c r="A9" i="1"/>
  <c r="A31" i="1"/>
  <c r="A13" i="1"/>
  <c r="A12" i="1"/>
  <c r="A20" i="1"/>
  <c r="A27" i="1"/>
  <c r="A5" i="1"/>
  <c r="A8" i="1"/>
  <c r="A19" i="1"/>
  <c r="A18" i="1"/>
  <c r="A17" i="1"/>
  <c r="A26" i="1"/>
  <c r="A30" i="1"/>
  <c r="A25" i="1"/>
  <c r="A29" i="1"/>
  <c r="A33" i="1"/>
  <c r="A4" i="1"/>
  <c r="A16" i="1"/>
  <c r="A11" i="1"/>
  <c r="A24" i="1"/>
  <c r="A23" i="1"/>
  <c r="A22" i="1"/>
  <c r="A21" i="1"/>
  <c r="A3" i="1"/>
  <c r="M28" i="1" l="1"/>
  <c r="M43" i="1"/>
  <c r="M3" i="1"/>
  <c r="M42" i="1"/>
  <c r="M35" i="1"/>
  <c r="M53" i="1"/>
  <c r="M44" i="1"/>
  <c r="M58" i="1"/>
  <c r="M41" i="1"/>
  <c r="M46" i="1"/>
  <c r="M45" i="1"/>
  <c r="M50" i="1"/>
  <c r="M37" i="1"/>
  <c r="M40" i="1"/>
  <c r="M55" i="1"/>
  <c r="M51" i="1"/>
  <c r="M52" i="1"/>
  <c r="M49" i="1"/>
  <c r="M32" i="1"/>
  <c r="M33" i="1"/>
  <c r="M8" i="1"/>
  <c r="M14" i="1"/>
  <c r="M39" i="1"/>
  <c r="M47" i="1"/>
  <c r="M38" i="1"/>
  <c r="M23" i="1"/>
  <c r="M54" i="1"/>
  <c r="M20" i="1"/>
  <c r="M10" i="1"/>
  <c r="M2" i="1"/>
  <c r="M17" i="1"/>
  <c r="M13" i="1"/>
  <c r="M7" i="1"/>
  <c r="M48" i="1"/>
  <c r="M4" i="1"/>
  <c r="M19" i="1"/>
  <c r="M36" i="1"/>
  <c r="M34" i="1"/>
  <c r="M6" i="1"/>
  <c r="M22" i="1"/>
  <c r="M25" i="1"/>
  <c r="M27" i="1"/>
  <c r="M15" i="1"/>
  <c r="M21" i="1"/>
  <c r="M29" i="1"/>
  <c r="M16" i="1"/>
  <c r="M18" i="1"/>
  <c r="M31" i="1"/>
  <c r="M5" i="1"/>
  <c r="M9" i="1"/>
  <c r="M30" i="1"/>
  <c r="M11" i="1"/>
  <c r="M24" i="1"/>
  <c r="M26" i="1"/>
  <c r="M12" i="1"/>
</calcChain>
</file>

<file path=xl/sharedStrings.xml><?xml version="1.0" encoding="utf-8"?>
<sst xmlns="http://schemas.openxmlformats.org/spreadsheetml/2006/main" count="1051" uniqueCount="514">
  <si>
    <t>country_iso3</t>
  </si>
  <si>
    <t>country_name</t>
  </si>
  <si>
    <t>country_name_ja</t>
  </si>
  <si>
    <t>title</t>
  </si>
  <si>
    <t>summary</t>
  </si>
  <si>
    <t>detail</t>
  </si>
  <si>
    <t>関係国１</t>
  </si>
  <si>
    <t>関係国２</t>
  </si>
  <si>
    <t>関係国３</t>
  </si>
  <si>
    <t>related_country_1</t>
  </si>
  <si>
    <t>related_country_2</t>
  </si>
  <si>
    <t>related_country_3</t>
  </si>
  <si>
    <t>related_countries</t>
  </si>
  <si>
    <t>impact_summary</t>
  </si>
  <si>
    <t>category</t>
  </si>
  <si>
    <t>event_date</t>
  </si>
  <si>
    <t>source_name</t>
  </si>
  <si>
    <t>source_url</t>
  </si>
  <si>
    <t>importance</t>
  </si>
  <si>
    <t>チャド</t>
  </si>
  <si>
    <t>チャドがスーダン難民をめぐり国境へ軍を展開</t>
  </si>
  <si>
    <t>チャドがスーダン国境から難民を移送させ、攻撃に備えて軍を展開した</t>
  </si>
  <si>
    <t>紛争の懸念</t>
  </si>
  <si>
    <t>スーダン</t>
  </si>
  <si>
    <t>国際関係</t>
  </si>
  <si>
    <t>軍事</t>
  </si>
  <si>
    <t>Reuters</t>
  </si>
  <si>
    <t>https://www.reuters.com/world/africa/chad-relocates-sudan-refugees-army-deploys-near-border-2026-03-23/</t>
  </si>
  <si>
    <t>アメリカ</t>
  </si>
  <si>
    <t>トランプ大統領、次はキューバ言及</t>
  </si>
  <si>
    <t>トランプ大統領が演説で軍事成果を強調し、次の標的としてキューバに言及。緊張拡大の懸念が浮上。</t>
  </si>
  <si>
    <t>キューバ</t>
  </si>
  <si>
    <t>https://www.reuters.com/world/americas/trump-says-cuba-is-next-speech-touting-us-military-successes-2026-03-27/</t>
  </si>
  <si>
    <t>カナダ</t>
  </si>
  <si>
    <t>カナダ、メルコスール協定狙う</t>
  </si>
  <si>
    <t>カナダが交渉を加速、2026年9?10月の署名を目標に年内合意を目指すと報告。</t>
  </si>
  <si>
    <t>経済関係の再編</t>
  </si>
  <si>
    <t>ブラジル</t>
  </si>
  <si>
    <t>アルゼンチン</t>
  </si>
  <si>
    <t>パラグアイ</t>
  </si>
  <si>
    <t>貿易</t>
  </si>
  <si>
    <t>https://www.reuters.com/world/canada-eyes-mercosur-pact-by-autumn-2026-03-27/</t>
  </si>
  <si>
    <t>欧州連合</t>
  </si>
  <si>
    <t>EＵとTPPがデジタル分野の合意を形成</t>
  </si>
  <si>
    <t>歴史的なデジタル貿易協定で実質的進展、規範と市場開放で合意へ。</t>
  </si>
  <si>
    <t>CPTPP</t>
  </si>
  <si>
    <t>https://www.reuters.com/world/americas/eu-cptpp-agree-progress-with-historic-digital-trade-deal-canadas-international-2026-03-27/</t>
  </si>
  <si>
    <t>メルコスールとカナダがFTA合意間近</t>
  </si>
  <si>
    <t>カナダとメルコスールのFTAについて年内合意を目指すと表明</t>
  </si>
  <si>
    <t>https://www.reuters.com/world/americas/mercosur-canada-near-free-trade-agreement-with-april-talks-2026-03-27/</t>
  </si>
  <si>
    <t>メキシコ</t>
  </si>
  <si>
    <t>メキシコがキューバ医師協定維持を表明</t>
  </si>
  <si>
    <t>メキシコが過疎地支援のため、キューバへの医師派遣協定を継続すると表明</t>
  </si>
  <si>
    <t>外交</t>
  </si>
  <si>
    <t>https://www.reuters.com/world/americas/mexico-uphold-cuban-doctor-agreement-president-says-2026-03-25/</t>
  </si>
  <si>
    <t>トランプ氏、マドゥロ大統領への追加訴追を示唆</t>
  </si>
  <si>
    <t>1月の奇襲で拘束されたマドゥロ大統領に対し追加訴追を表明。</t>
  </si>
  <si>
    <t>ベネズエラ</t>
  </si>
  <si>
    <t>https://www.reuters.com/world/americas/trump-says-venezuelas-maduro-face-additional-charges-2026-03-26/</t>
  </si>
  <si>
    <t>コスタリカ</t>
  </si>
  <si>
    <t>コスタリカ、アメリカからの移民送還者受け入れへ</t>
  </si>
  <si>
    <t>アメリカが強制送還する移民を週最大25人受け入れへ</t>
  </si>
  <si>
    <t>https://www.reuters.com/world/americas/costa-rica-plans-accept-us-sent-migrants-other-countries-2026-03-24/</t>
  </si>
  <si>
    <t>イエメン</t>
  </si>
  <si>
    <t>フーシ派がイランの戦線へ参加表明</t>
  </si>
  <si>
    <t>フーシ派がイスラエル攻撃開始を表明、地域緊張拡大へ</t>
  </si>
  <si>
    <t>イラン</t>
  </si>
  <si>
    <t>イスラエル</t>
  </si>
  <si>
    <t>軍事的緊張</t>
  </si>
  <si>
    <t>紛争</t>
  </si>
  <si>
    <t>https://www.reuters.com/world/asia-pacific/yemens-houthis-enter-iran-war-with-attacks-israel-while-us-marines-arrive-region-2026-03-28/</t>
  </si>
  <si>
    <t>中国</t>
  </si>
  <si>
    <t>比中、南シナ海協議再開へ</t>
  </si>
  <si>
    <t>フィリピン</t>
  </si>
  <si>
    <t>安全保障</t>
  </si>
  <si>
    <t>https://www.reuters.com/business/energy/manila-beijing-resume-talks-south-china-sea-energy-security-2026-03-28/</t>
  </si>
  <si>
    <t>ネパール</t>
  </si>
  <si>
    <t>ネパール首相にシャー氏が就任</t>
  </si>
  <si>
    <t>シャー氏が選挙圧勝を受け首相に就任し新政権を樹立へ。</t>
  </si>
  <si>
    <t>国内政治</t>
  </si>
  <si>
    <t>その他</t>
  </si>
  <si>
    <t>https://www.reuters.com/world/china/ex-rapper-shah-sworn-nepal-prime-minister-after-sweeping-election-win-2026-03-27/</t>
  </si>
  <si>
    <t>インドネシア</t>
  </si>
  <si>
    <t>インドネシア、未成年SNS規制が施行</t>
  </si>
  <si>
    <t>未成年の利用制限と年齢確認義務で運用混乱が懸念</t>
  </si>
  <si>
    <t>https://www.reuters.com/business/media-telecom/indonesias-social-media-curbs-kids-set-saturday-few-know-how-it-will-work-2026-03-27/</t>
  </si>
  <si>
    <t>北朝鮮</t>
  </si>
  <si>
    <t>北朝鮮とベラルーシが友好条約に署名</t>
  </si>
  <si>
    <t>両国が公式に友好条約を締結、外交・防衛と経済で今後協力を深化へ</t>
  </si>
  <si>
    <t>ベラルーシ</t>
  </si>
  <si>
    <t>https://www.reuters.com/world/asia-pacific/north-korea-belarus-sign-friendship-treaty-kcna-says-2026-03-26/</t>
  </si>
  <si>
    <t>パキスタン</t>
  </si>
  <si>
    <t>パキスタン、アフガニスタンで軍事作戦継続</t>
  </si>
  <si>
    <t>パキスタン外務省が越境攻撃継続を表明、タリバン拠点を標的と説明</t>
  </si>
  <si>
    <t>アフガニスタン</t>
  </si>
  <si>
    <t>https://www.reuters.com/world/asia-pacific/pakistan-continuing-military-operations-against-afghanistan-pakistan-foreign-2026-03-26/</t>
  </si>
  <si>
    <t>トランプ大統領、イランのエネルギー施設への攻撃を一時停止</t>
  </si>
  <si>
    <t>エネルギー施設への攻撃を10日間停止と表明、米の15項目案をイランが検討中</t>
  </si>
  <si>
    <t>https://www.reuters.com/world/asia-pacific/iran-says-it-is-reviewing-us-ceasefire-plan-no-talks-trump-says-tehran-leaders-2026-03-26/</t>
  </si>
  <si>
    <t>アメリカがアラクチ外相らを攻撃対象から一時解除</t>
  </si>
  <si>
    <t>パキスタンの仲介により米がアラクチ外相らを攻撃対象から一時的に外す</t>
  </si>
  <si>
    <t>https://www.reuters.com/world/asia-pacific/israel-took-irans-araqchi-qalibaf-off-hit-list-pakistan-request-pakistani-2026-03-26/</t>
  </si>
  <si>
    <t>日本</t>
  </si>
  <si>
    <t>日本、対中関係を「最重要」から格下げ</t>
  </si>
  <si>
    <t>2026年外交青書案から中国が『最重要』指定から外れる</t>
  </si>
  <si>
    <t>https://www.reuters.com/world/china/japan-drop-most-important-tag-china-ties-2026-03-24/</t>
  </si>
  <si>
    <t>香港警察、外国人へのパスワード取得権拡大</t>
  </si>
  <si>
    <t>香港にて警察による携帯・PCのパスワード入手が可能となり監視強化が懸念される。</t>
  </si>
  <si>
    <t>https://www.reuters.com/world/china/hong-kong-police-given-new-powers-obtain-phone-computer-passwords-2026-03-23/</t>
  </si>
  <si>
    <t>ウクライナ</t>
  </si>
  <si>
    <t>ウクライナとサウジアラビアが防衛協力に合意</t>
  </si>
  <si>
    <t>サウジアラビア</t>
  </si>
  <si>
    <t>https://www.reuters.com/business/aerospace-defense/ukraine-saudi-arabia-sign-deal-defence-cooperation-zelenskiy-says-2026-03-27/</t>
  </si>
  <si>
    <t>ウクライナ、ロシアのエネルギー施設へ圧力</t>
  </si>
  <si>
    <t>ウクライナがロシアの石油施設への攻撃を発表</t>
  </si>
  <si>
    <t>ロシア</t>
  </si>
  <si>
    <t>https://www.reuters.com/business/energy/ukraine-using-strikes-pressure-russia-after-oil-sanctions-eased-zelenskiy-says-2026-03-26/</t>
  </si>
  <si>
    <t>キプロス</t>
  </si>
  <si>
    <t>キプロス、イギリスと基地協議</t>
  </si>
  <si>
    <t>基地の将来や使用条件を協議へ、2月の無人機攻撃が契機に</t>
  </si>
  <si>
    <t>イギリス</t>
  </si>
  <si>
    <t>https://www.reuters.com/world/uk/cyprus-has-opened-discussion-with-uk-over-its-bases-president-says-2026-03-25/</t>
  </si>
  <si>
    <t>デンマーク</t>
  </si>
  <si>
    <t>デンマーク首相が辞任表明尾</t>
  </si>
  <si>
    <t>選挙敗北を受けてフレデリクセン首相が辞任を表明</t>
  </si>
  <si>
    <t>https://www.reuters.com/world/europe/denmarks-prime-minister-hands-government-resignation-after-election-defeat-2026-03-25/</t>
  </si>
  <si>
    <t>ウクライナがUAE・カタールと防衛協力</t>
  </si>
  <si>
    <t>ゼレンスキー大統領の訪問で10年間の協力が合意、ドローン対策や燃料供給で連携強化</t>
  </si>
  <si>
    <t>UAE</t>
  </si>
  <si>
    <t>カタール</t>
  </si>
  <si>
    <t>https://www.reuters.com/world/middle-east/ukraine-uae-agree-cooperate-defence-zelenskiy-says-2026-03-28/</t>
  </si>
  <si>
    <t>イスラエルがレバノン南部へ緩衝地帯設置計画を発表</t>
  </si>
  <si>
    <t>イスラエルがレバノン南部のリタニ川まで占領する計画を発表</t>
  </si>
  <si>
    <t>レバノン</t>
  </si>
  <si>
    <t>https://www.reuters.com/graphics/IRAN-CRISIS/LEBANON-ISRAEL-INFRASTRUCTURE/gkvlklaxypb/</t>
  </si>
  <si>
    <t>イギリスとトルコが空防協定に署名</t>
  </si>
  <si>
    <t>数十億ポンド規模の新たな訓練・支援契約に署名</t>
  </si>
  <si>
    <t>トルコ</t>
  </si>
  <si>
    <t>https://www.reuters.com/business/aerospace-defense/uk-turkey-sign-multi-billion-pound-air-defence-deal-2026-03-25/</t>
  </si>
  <si>
    <t>コンゴ民主共和国</t>
  </si>
  <si>
    <t>DRコンゴが中国との鉱業協力強化</t>
  </si>
  <si>
    <t>中国との鉱業連携強化によりアメリカとの供給競争が拡大</t>
  </si>
  <si>
    <t>https://www.reuters.com/world/africa/congo-china-deepen-mining-ties-us-pushes-rival-minerals-pact-2026-03-27/</t>
  </si>
  <si>
    <t>ケニア</t>
  </si>
  <si>
    <t>ケニアが中国との貿易協定に最終合意</t>
  </si>
  <si>
    <t>98%の輸出が中国市場であるケニアが関税免除に最終合意</t>
  </si>
  <si>
    <t>https://www.reuters.com/world/africa/kenya-finalises-trade-deal-with-china-president-says-2026-03-25/</t>
  </si>
  <si>
    <t>欧州連合・オーストラリアが貿易協定を締結</t>
  </si>
  <si>
    <t>物品関税ほぼ撤廃、農産物・鉱物・サービスで開放。投資優遇とGI保護も。</t>
  </si>
  <si>
    <t>オーストラリア</t>
  </si>
  <si>
    <t>https://www.reuters.com/business/highlights-eu-australia-trade-agreement-2026-03-24/</t>
  </si>
  <si>
    <t>フィリピンと中国が南シナ海における協議を再開</t>
    <rPh sb="6" eb="8">
      <t>チュウゴク</t>
    </rPh>
    <rPh sb="9" eb="10">
      <t>ミナミ</t>
    </rPh>
    <rPh sb="12" eb="13">
      <t>カイ</t>
    </rPh>
    <rPh sb="17" eb="19">
      <t>キョウギ</t>
    </rPh>
    <rPh sb="20" eb="22">
      <t>サイカイ</t>
    </rPh>
    <phoneticPr fontId="18"/>
  </si>
  <si>
    <t>ウクライナとサウジアラビアが防衛協力に合意</t>
    <rPh sb="14" eb="18">
      <t>ボウエイキョウリョク</t>
    </rPh>
    <rPh sb="19" eb="21">
      <t>ゴウイ</t>
    </rPh>
    <phoneticPr fontId="18"/>
  </si>
  <si>
    <t>イスラエル</t>
    <phoneticPr fontId="18"/>
  </si>
  <si>
    <t>イスラエル閣僚がレバノン南部を併合宣言</t>
    <rPh sb="12" eb="14">
      <t>ナンブ</t>
    </rPh>
    <phoneticPr fontId="18"/>
  </si>
  <si>
    <t>財務相スモトリッヒ氏がレバノン南部リタニ川まで国境拡大を主張、空爆で民間被害。</t>
    <rPh sb="9" eb="10">
      <t>ウジ</t>
    </rPh>
    <rPh sb="15" eb="17">
      <t>ナンブ</t>
    </rPh>
    <phoneticPr fontId="18"/>
  </si>
  <si>
    <t>紛争</t>
    <rPh sb="0" eb="2">
      <t>フンソウ</t>
    </rPh>
    <phoneticPr fontId="18"/>
  </si>
  <si>
    <t>レバノン</t>
    <phoneticPr fontId="18"/>
  </si>
  <si>
    <t>軍事的緊張が高まる</t>
  </si>
  <si>
    <t>Reuters</t>
    <phoneticPr fontId="18"/>
  </si>
  <si>
    <t>https://www.reuters.com/world/middle-east/israeli-minister-calls-annexation-southern-lebanon-2026-03-23/</t>
  </si>
  <si>
    <t>スロベニア</t>
    <phoneticPr fontId="18"/>
  </si>
  <si>
    <t>スロベニア総選挙</t>
    <rPh sb="5" eb="8">
      <t>ソウセンキョ</t>
    </rPh>
    <phoneticPr fontId="18"/>
  </si>
  <si>
    <t>自由派とポピュリスト右派が接戦、過半数獲得できず小党が連立の鍵に。</t>
    <phoneticPr fontId="18"/>
  </si>
  <si>
    <t>選挙</t>
    <rPh sb="0" eb="2">
      <t>センキョ</t>
    </rPh>
    <phoneticPr fontId="18"/>
  </si>
  <si>
    <t>国内政治に影響</t>
  </si>
  <si>
    <t>https://www.reuters.com/world/europe/slovenians-vote-tight-race-between-liberals-populist-right-2026-03-22/</t>
    <phoneticPr fontId="18"/>
  </si>
  <si>
    <t>イタリア</t>
    <phoneticPr fontId="18"/>
  </si>
  <si>
    <t>イタリアの司法改革案が国民投票にて否決</t>
    <rPh sb="5" eb="10">
      <t>シホウカイカクアン</t>
    </rPh>
    <rPh sb="11" eb="15">
      <t>コクミントウヒョウ</t>
    </rPh>
    <rPh sb="17" eb="19">
      <t>ヒケツ</t>
    </rPh>
    <phoneticPr fontId="1"/>
  </si>
  <si>
    <t>メローニの司法改正案が僅差で否決、支持基盤に大打撃。</t>
    <phoneticPr fontId="18"/>
  </si>
  <si>
    <t>国内政治</t>
    <rPh sb="0" eb="4">
      <t>コクナイセイジ</t>
    </rPh>
    <phoneticPr fontId="18"/>
  </si>
  <si>
    <t>https://www.reuters.com/world/europe/exit-polls-suggest-italys-meloni-has-narrowly-lost-justice-referendum-vote-2026-03-23/</t>
    <phoneticPr fontId="18"/>
  </si>
  <si>
    <t>キューバ</t>
    <phoneticPr fontId="18"/>
  </si>
  <si>
    <t>ロシア原油がキューバに到着</t>
    <rPh sb="11" eb="13">
      <t>トウチャク</t>
    </rPh>
    <phoneticPr fontId="18"/>
  </si>
  <si>
    <t>トランプ大統領がキューバへの輸送を容認、ロシア産原油でキューバの燃料不足が一時緩和</t>
    <rPh sb="4" eb="7">
      <t>ダイトウリョウ</t>
    </rPh>
    <rPh sb="14" eb="16">
      <t>ユソウ</t>
    </rPh>
    <phoneticPr fontId="18"/>
  </si>
  <si>
    <t>エネルギー</t>
    <phoneticPr fontId="18"/>
  </si>
  <si>
    <t>ロシア</t>
    <phoneticPr fontId="18"/>
  </si>
  <si>
    <t>アメリカ</t>
    <phoneticPr fontId="18"/>
  </si>
  <si>
    <t>国際関係に影響</t>
  </si>
  <si>
    <t>エネルギー</t>
  </si>
  <si>
    <t>Bloomberg</t>
    <phoneticPr fontId="18"/>
  </si>
  <si>
    <t>https://www.bloomberg.com/news/articles/2026-03-30/russian-oil-shipment-buys-us-and-cuba-time-as-crisis-festers</t>
    <phoneticPr fontId="18"/>
  </si>
  <si>
    <t>パラグアイ</t>
    <phoneticPr fontId="18"/>
  </si>
  <si>
    <t>パラグアイ、財務相が交代</t>
    <phoneticPr fontId="18"/>
  </si>
  <si>
    <t>暫定の財務相が就任、後任選定へ</t>
    <rPh sb="0" eb="2">
      <t>ザンテイ</t>
    </rPh>
    <rPh sb="3" eb="6">
      <t>ザイムショウ</t>
    </rPh>
    <rPh sb="7" eb="9">
      <t>シュウニン</t>
    </rPh>
    <rPh sb="10" eb="12">
      <t>コウニン</t>
    </rPh>
    <rPh sb="12" eb="14">
      <t>センテイ</t>
    </rPh>
    <phoneticPr fontId="18"/>
  </si>
  <si>
    <t>https://www.bloomberg.com/news/articles/2026-03-31/paraguay-names-interim-finance-chief-after-fernandez-resigns</t>
    <phoneticPr fontId="18"/>
  </si>
  <si>
    <t>アメリカ、3隻目の空母を中東海域へ派遣</t>
    <rPh sb="12" eb="16">
      <t>チュウトウカイイキ</t>
    </rPh>
    <phoneticPr fontId="18"/>
  </si>
  <si>
    <t>第3空母戦闘群を中東へ増派、イランとの緊張続く。</t>
    <phoneticPr fontId="18"/>
  </si>
  <si>
    <t>イラン</t>
    <phoneticPr fontId="18"/>
  </si>
  <si>
    <t>https://www.bloomberg.com/news/articles/2026-03-31/third-us-aircraft-carrier-heads-to-mideast-as-iran-war-continues</t>
    <phoneticPr fontId="18"/>
  </si>
  <si>
    <t>レバノン南部で国連平和維持軍3名が死亡</t>
    <rPh sb="4" eb="6">
      <t>ナンブ</t>
    </rPh>
    <rPh sb="7" eb="14">
      <t>コクレンヘイワイジグン</t>
    </rPh>
    <rPh sb="15" eb="16">
      <t>メイ</t>
    </rPh>
    <rPh sb="17" eb="19">
      <t>シボウ</t>
    </rPh>
    <phoneticPr fontId="18"/>
  </si>
  <si>
    <t>イスラエルによるレバノン南部攻撃による</t>
    <rPh sb="12" eb="14">
      <t>ナンブ</t>
    </rPh>
    <rPh sb="14" eb="16">
      <t>コウゲキ</t>
    </rPh>
    <phoneticPr fontId="18"/>
  </si>
  <si>
    <t>https://www.reuters.com/world/middle-east/unifil-says-one-peacekeeper-killed-one-critically-injured-southern-lebanon-2026-03-29/</t>
  </si>
  <si>
    <t>イギリス</t>
    <phoneticPr fontId="18"/>
  </si>
  <si>
    <t>イギリスとシリアの首脳会談</t>
    <rPh sb="9" eb="13">
      <t>シュノウカイダン</t>
    </rPh>
    <phoneticPr fontId="18"/>
  </si>
  <si>
    <t>移民問題と国境警備問題が議題に</t>
    <rPh sb="0" eb="4">
      <t>イミンモンダイ</t>
    </rPh>
    <rPh sb="5" eb="11">
      <t>コッキョウケイビモンダイ</t>
    </rPh>
    <rPh sb="12" eb="14">
      <t>ギダイ</t>
    </rPh>
    <phoneticPr fontId="18"/>
  </si>
  <si>
    <t>国際関係</t>
    <rPh sb="0" eb="4">
      <t>コクサイカンケイ</t>
    </rPh>
    <phoneticPr fontId="18"/>
  </si>
  <si>
    <t>シリア</t>
    <phoneticPr fontId="18"/>
  </si>
  <si>
    <t>https://www.reuters.com/world/middle-east/uk-pm-starmer-raises-migration-border-security-talks-with-syrias-president-2026-03-31/</t>
  </si>
  <si>
    <t>イスラエルがレバノン南部に緩衝地帯設置を表明</t>
    <rPh sb="10" eb="12">
      <t>ナンブ</t>
    </rPh>
    <rPh sb="13" eb="19">
      <t>カンショウチタイセッチ</t>
    </rPh>
    <rPh sb="20" eb="22">
      <t>ヒョウメイ</t>
    </rPh>
    <phoneticPr fontId="18"/>
  </si>
  <si>
    <t>イスラエル国防相、レバノン南部リタ川までを緩衝地帯にすると発言</t>
    <rPh sb="5" eb="8">
      <t>コクボウショウ</t>
    </rPh>
    <rPh sb="13" eb="15">
      <t>ナンブ</t>
    </rPh>
    <rPh sb="17" eb="18">
      <t>カワ</t>
    </rPh>
    <rPh sb="21" eb="25">
      <t>カンショウチタイ</t>
    </rPh>
    <rPh sb="29" eb="31">
      <t>ハツゲン</t>
    </rPh>
    <phoneticPr fontId="18"/>
  </si>
  <si>
    <t>https://www.reuters.com/world/middle-east/israel-establish-buffer-zone-south-lebanon-up-litani-river-defence-minister-says-2026-03-31/</t>
  </si>
  <si>
    <t>ウクライナ</t>
    <phoneticPr fontId="18"/>
  </si>
  <si>
    <t>ゼレンスキー大統領のヨルダン訪問</t>
    <rPh sb="6" eb="9">
      <t>ダイトウリョウ</t>
    </rPh>
    <rPh sb="14" eb="16">
      <t>ホウモン</t>
    </rPh>
    <phoneticPr fontId="18"/>
  </si>
  <si>
    <t>アブドラ国王と安全保障協力について協議</t>
    <rPh sb="4" eb="6">
      <t>コクオウ</t>
    </rPh>
    <rPh sb="7" eb="13">
      <t>アンゼンホショウキョウリョク</t>
    </rPh>
    <rPh sb="17" eb="19">
      <t>キョウギ</t>
    </rPh>
    <phoneticPr fontId="18"/>
  </si>
  <si>
    <t>ヨルダン</t>
    <phoneticPr fontId="18"/>
  </si>
  <si>
    <t>https://www.reuters.com/business/aerospace-defense/ukraines-zelenskiy-arrives-jordan-next-leg-gulf-tour-2026-03-29/</t>
  </si>
  <si>
    <t>ロシアがスパイ容疑で英外交官を追放</t>
    <rPh sb="7" eb="9">
      <t>ヨウギ</t>
    </rPh>
    <rPh sb="10" eb="11">
      <t>エイ</t>
    </rPh>
    <rPh sb="11" eb="14">
      <t>ガイコウカン</t>
    </rPh>
    <rPh sb="15" eb="17">
      <t>ツイホウ</t>
    </rPh>
    <phoneticPr fontId="18"/>
  </si>
  <si>
    <t>スパイ容疑で外交官を国外退去処分と発表。英政府は抗議。</t>
    <rPh sb="20" eb="21">
      <t>エイ</t>
    </rPh>
    <phoneticPr fontId="18"/>
  </si>
  <si>
    <t>https://www.reuters.com/world/russia-expels-british-diplomat-over-espionage-fsb-says-2026-03-30/</t>
  </si>
  <si>
    <t>イタリア、米軍機のシチリア基地利用を拒否と発表</t>
    <rPh sb="5" eb="8">
      <t>ベイグンキ</t>
    </rPh>
    <rPh sb="13" eb="17">
      <t>キチリヨウ</t>
    </rPh>
    <rPh sb="18" eb="20">
      <t>キョヒ</t>
    </rPh>
    <rPh sb="21" eb="23">
      <t>ハッピョウ</t>
    </rPh>
    <phoneticPr fontId="1"/>
  </si>
  <si>
    <t>イタリアが中東に向かう米軍航空機の基地使用を拒否</t>
    <rPh sb="5" eb="7">
      <t>チュウトウ</t>
    </rPh>
    <rPh sb="8" eb="9">
      <t>ム</t>
    </rPh>
    <rPh sb="11" eb="16">
      <t>ベイグンコウクウキ</t>
    </rPh>
    <rPh sb="17" eb="21">
      <t>キチシヨウ</t>
    </rPh>
    <rPh sb="22" eb="24">
      <t>キョヒ</t>
    </rPh>
    <phoneticPr fontId="18"/>
  </si>
  <si>
    <t>https://www.reuters.com/business/aerospace-defense/italy-refuses-us-aircraft-use-sicily-base-middle-east-operations-source-says-2026-03-31/</t>
  </si>
  <si>
    <t>フランス</t>
    <phoneticPr fontId="18"/>
  </si>
  <si>
    <t>フランスがイスラエルの領空通過を拒否</t>
    <rPh sb="11" eb="13">
      <t>リョウクウ</t>
    </rPh>
    <rPh sb="13" eb="15">
      <t>ツウカ</t>
    </rPh>
    <rPh sb="16" eb="18">
      <t>キョヒ</t>
    </rPh>
    <phoneticPr fontId="18"/>
  </si>
  <si>
    <t>イラン攻撃用の米国製兵器輸送において自国領空通過を拒否した。</t>
    <rPh sb="3" eb="5">
      <t>コウゲキ</t>
    </rPh>
    <rPh sb="5" eb="6">
      <t>ヨウ</t>
    </rPh>
    <rPh sb="7" eb="9">
      <t>ベイコク</t>
    </rPh>
    <rPh sb="9" eb="10">
      <t>セイ</t>
    </rPh>
    <rPh sb="10" eb="12">
      <t>ヘイキ</t>
    </rPh>
    <rPh sb="12" eb="14">
      <t>ユソウ</t>
    </rPh>
    <rPh sb="18" eb="20">
      <t>ジコク</t>
    </rPh>
    <rPh sb="20" eb="22">
      <t>リョウクウ</t>
    </rPh>
    <rPh sb="22" eb="24">
      <t>ツウカ</t>
    </rPh>
    <rPh sb="25" eb="27">
      <t>キョヒ</t>
    </rPh>
    <phoneticPr fontId="18"/>
  </si>
  <si>
    <t>https://www.reuters.com/world/china/france-refused-israel-use-its-air-space-transfer-us-weapons-iran-war-sources-2026-03-31/</t>
  </si>
  <si>
    <t>ネパール</t>
    <phoneticPr fontId="18"/>
  </si>
  <si>
    <t>ネパールの前首相が逮捕される</t>
    <rPh sb="5" eb="8">
      <t>ゼンシュショウ</t>
    </rPh>
    <rPh sb="9" eb="11">
      <t>タイホ</t>
    </rPh>
    <phoneticPr fontId="18"/>
  </si>
  <si>
    <t>2025年9月の抗議活動への弾圧に関連した逮捕</t>
    <rPh sb="4" eb="5">
      <t>ネン</t>
    </rPh>
    <rPh sb="6" eb="7">
      <t>ガツ</t>
    </rPh>
    <rPh sb="8" eb="12">
      <t>コウギカツドウ</t>
    </rPh>
    <rPh sb="14" eb="16">
      <t>ダンアツ</t>
    </rPh>
    <rPh sb="17" eb="19">
      <t>カンレン</t>
    </rPh>
    <rPh sb="21" eb="23">
      <t>タイホ</t>
    </rPh>
    <phoneticPr fontId="18"/>
  </si>
  <si>
    <t>https://www.reuters.com/world/asia-pacific/nepals-ex-pm-oli-held-over-deaths-during-gen-z-protests-2026-03-28/</t>
  </si>
  <si>
    <t>アフガニスタン</t>
    <phoneticPr fontId="18"/>
  </si>
  <si>
    <t>アフガニスタンとパキスタンで豪雨被害</t>
    <rPh sb="16" eb="18">
      <t>ヒガイ</t>
    </rPh>
    <phoneticPr fontId="18"/>
  </si>
  <si>
    <t>両国で合計45名が死亡したとされる</t>
    <rPh sb="0" eb="2">
      <t>リョウコク</t>
    </rPh>
    <rPh sb="3" eb="5">
      <t>ゴウケイ</t>
    </rPh>
    <rPh sb="7" eb="8">
      <t>メイ</t>
    </rPh>
    <rPh sb="9" eb="11">
      <t>シボウ</t>
    </rPh>
    <phoneticPr fontId="18"/>
  </si>
  <si>
    <t>災害</t>
    <rPh sb="0" eb="2">
      <t>サイガイ</t>
    </rPh>
    <phoneticPr fontId="18"/>
  </si>
  <si>
    <t>パキスタン</t>
    <phoneticPr fontId="18"/>
  </si>
  <si>
    <t>人道問題に影響</t>
  </si>
  <si>
    <t>人道</t>
  </si>
  <si>
    <t>https://www.reuters.com/sustainability/climate-energy/heavy-rain-floods-kill-22-people-afghanistan-2026-03-30/</t>
  </si>
  <si>
    <t>コソボ</t>
    <phoneticPr fontId="18"/>
  </si>
  <si>
    <t>コソボがガザ地区への部隊派遣を承認</t>
    <rPh sb="6" eb="8">
      <t>チク</t>
    </rPh>
    <rPh sb="10" eb="14">
      <t>ブタイハケン</t>
    </rPh>
    <rPh sb="15" eb="17">
      <t>ショウニン</t>
    </rPh>
    <phoneticPr fontId="18"/>
  </si>
  <si>
    <t>米国主導の国際安定化部隊へ参加表明、派遣規模は未公表。</t>
    <phoneticPr fontId="18"/>
  </si>
  <si>
    <t>パレスチナ</t>
    <phoneticPr fontId="18"/>
  </si>
  <si>
    <t>https://www.reuters.com/world/asia-pacific/kosovo-approves-troops-gaza-under-us-backed-scheme-2026-03-30/</t>
  </si>
  <si>
    <t>パキスタンとアフガニスタンが再衝突</t>
    <rPh sb="14" eb="17">
      <t>サイショウトツ</t>
    </rPh>
    <phoneticPr fontId="18"/>
  </si>
  <si>
    <t>両国国境で砲撃があり民間人被害報告。</t>
    <rPh sb="0" eb="2">
      <t>リョウコク</t>
    </rPh>
    <phoneticPr fontId="18"/>
  </si>
  <si>
    <t>https://www.reuters.com/world/asia-pacific/pakistan-afghanistan-trade-fire-islamabad-prepares-host-us-iran-talks-2026-03-30/</t>
  </si>
  <si>
    <t>タイ</t>
    <phoneticPr fontId="18"/>
  </si>
  <si>
    <t>タイにて新内閣が承認される</t>
    <rPh sb="4" eb="7">
      <t>シンナイカク</t>
    </rPh>
    <rPh sb="8" eb="10">
      <t>ショウニン</t>
    </rPh>
    <phoneticPr fontId="18"/>
  </si>
  <si>
    <t>アヌティン新内閣が承認される</t>
    <rPh sb="9" eb="11">
      <t>ショウニン</t>
    </rPh>
    <phoneticPr fontId="18"/>
  </si>
  <si>
    <t>https://www.reuters.com/world/asia-pacific/thai-king-approves-pm-anutins-cabinet-royal-gazette-says-2026-03-31/</t>
  </si>
  <si>
    <t>韓国</t>
    <rPh sb="0" eb="2">
      <t>カンコク</t>
    </rPh>
    <phoneticPr fontId="18"/>
  </si>
  <si>
    <t>韓国にて株価の大暴落と通貨の急落が発生</t>
    <rPh sb="0" eb="2">
      <t>カンコク</t>
    </rPh>
    <rPh sb="4" eb="6">
      <t>カブカ</t>
    </rPh>
    <rPh sb="7" eb="10">
      <t>ダイボウラク</t>
    </rPh>
    <rPh sb="11" eb="13">
      <t>ツウカ</t>
    </rPh>
    <rPh sb="14" eb="16">
      <t>キュウラク</t>
    </rPh>
    <rPh sb="17" eb="19">
      <t>ハッセイ</t>
    </rPh>
    <phoneticPr fontId="18"/>
  </si>
  <si>
    <t>2008年以来の下がり幅を記録。</t>
    <rPh sb="4" eb="5">
      <t>ネン</t>
    </rPh>
    <rPh sb="5" eb="7">
      <t>イライ</t>
    </rPh>
    <rPh sb="8" eb="9">
      <t>サ</t>
    </rPh>
    <rPh sb="11" eb="12">
      <t>ハバ</t>
    </rPh>
    <rPh sb="13" eb="15">
      <t>キロク</t>
    </rPh>
    <phoneticPr fontId="18"/>
  </si>
  <si>
    <t>経済</t>
    <rPh sb="0" eb="2">
      <t>ケイザイ</t>
    </rPh>
    <phoneticPr fontId="18"/>
  </si>
  <si>
    <t>金融市場に影響</t>
  </si>
  <si>
    <t>金融</t>
  </si>
  <si>
    <t>https://www.reuters.com/world/asia-pacific/south-korea-hit-by-steepest-stocks-selloff-since-2008-currency-tumbles-2026-03-31/</t>
  </si>
  <si>
    <t>メキシコ</t>
    <phoneticPr fontId="18"/>
  </si>
  <si>
    <t>メキシコにて新たな外相が就任</t>
    <rPh sb="6" eb="7">
      <t>アラ</t>
    </rPh>
    <rPh sb="9" eb="11">
      <t>ガイショウ</t>
    </rPh>
    <rPh sb="12" eb="14">
      <t>シュウニン</t>
    </rPh>
    <phoneticPr fontId="18"/>
  </si>
  <si>
    <t>https://www.bloomberg.com/news/articles/2026-04-01/roberto-velasco-poised-to-be-mexico-s-top-diplomat-after-de-la-fuente-resigns</t>
    <phoneticPr fontId="18"/>
  </si>
  <si>
    <t>モンゴル</t>
    <phoneticPr fontId="18"/>
  </si>
  <si>
    <t>モンゴルにて新首相が承認される</t>
    <rPh sb="6" eb="9">
      <t>シンシュショウ</t>
    </rPh>
    <rPh sb="10" eb="12">
      <t>ショウニン</t>
    </rPh>
    <phoneticPr fontId="18"/>
  </si>
  <si>
    <t>https://www.reuters.com/world/china/mongolia-names-new-prime-minister-following-stalemate-parliament-2026-03-31/</t>
  </si>
  <si>
    <t>アメリカがベネズエラの大使館を再開</t>
    <rPh sb="11" eb="14">
      <t>タイシカン</t>
    </rPh>
    <rPh sb="15" eb="17">
      <t>サイカイ</t>
    </rPh>
    <phoneticPr fontId="18"/>
  </si>
  <si>
    <t>ベネズエラ首都カラカスの大使館業務が再開、段階的な外交関係回復へ</t>
    <rPh sb="5" eb="7">
      <t>シュト</t>
    </rPh>
    <rPh sb="12" eb="17">
      <t>タイシカンギョウム</t>
    </rPh>
    <rPh sb="18" eb="20">
      <t>サイカイ</t>
    </rPh>
    <rPh sb="21" eb="24">
      <t>ダンカイテキ</t>
    </rPh>
    <rPh sb="25" eb="31">
      <t>ガイコウカンケイカイフク</t>
    </rPh>
    <phoneticPr fontId="18"/>
  </si>
  <si>
    <t>ベネズエラ</t>
    <phoneticPr fontId="18"/>
  </si>
  <si>
    <t>外交関係が改善</t>
  </si>
  <si>
    <t>https://www.reuters.com/world/americas/us-resumes-embassy-operations-venezuela-2026-03-30/</t>
  </si>
  <si>
    <t>エジプト</t>
    <phoneticPr fontId="18"/>
  </si>
  <si>
    <t>アラブ連盟の事務総長にエジプト外交官が指名される</t>
    <rPh sb="3" eb="5">
      <t>レンメイ</t>
    </rPh>
    <rPh sb="6" eb="10">
      <t>ジムソウチョウ</t>
    </rPh>
    <rPh sb="15" eb="18">
      <t>ガイコウカン</t>
    </rPh>
    <rPh sb="19" eb="21">
      <t>シメイ</t>
    </rPh>
    <phoneticPr fontId="18"/>
  </si>
  <si>
    <t>https://www.reuters.com/business/media-telecom/arab-foreign-ministers-name-nabil-fahmy-arab-league-chief-2026-03-29/</t>
  </si>
  <si>
    <t>エジプトとキプロス、天然ガス協力協定に署名</t>
    <rPh sb="16" eb="18">
      <t>キョウテイ</t>
    </rPh>
    <rPh sb="19" eb="21">
      <t>ショメイ</t>
    </rPh>
    <phoneticPr fontId="18"/>
  </si>
  <si>
    <t>キプロス</t>
    <phoneticPr fontId="18"/>
  </si>
  <si>
    <t>エネルギー市場に影響</t>
  </si>
  <si>
    <t>https://www.reuters.com/business/energy/egypt-cyprus-sign-framework-agreement-cooperation-gas-2026-03-30/</t>
  </si>
  <si>
    <t>ソマリア</t>
    <phoneticPr fontId="18"/>
  </si>
  <si>
    <t>ソマリア軍が南西部主要都市を制圧</t>
    <rPh sb="4" eb="5">
      <t>グン</t>
    </rPh>
    <rPh sb="6" eb="13">
      <t>ナンセイブシュヨウトシ</t>
    </rPh>
    <rPh sb="14" eb="16">
      <t>セイアツ</t>
    </rPh>
    <phoneticPr fontId="18"/>
  </si>
  <si>
    <t>政府との関係遮断を宣言していた州政府首都を制圧</t>
    <rPh sb="0" eb="2">
      <t>セイフ</t>
    </rPh>
    <rPh sb="4" eb="6">
      <t>カンケイ</t>
    </rPh>
    <rPh sb="6" eb="8">
      <t>シャダン</t>
    </rPh>
    <rPh sb="9" eb="11">
      <t>センゲン</t>
    </rPh>
    <rPh sb="15" eb="18">
      <t>シュウセイフ</t>
    </rPh>
    <rPh sb="18" eb="20">
      <t>シュト</t>
    </rPh>
    <rPh sb="21" eb="23">
      <t>セイアツ</t>
    </rPh>
    <phoneticPr fontId="18"/>
  </si>
  <si>
    <t>https://www.reuters.com/world/africa/somali-national-army-takes-control-part-biggest-city-south-west-state-2026-03-30/</t>
  </si>
  <si>
    <t>イラン海軍司令官の死亡が発表される</t>
    <rPh sb="3" eb="8">
      <t>カイグンシレイカン</t>
    </rPh>
    <rPh sb="9" eb="11">
      <t>シボウ</t>
    </rPh>
    <rPh sb="12" eb="14">
      <t>ハッピョウ</t>
    </rPh>
    <phoneticPr fontId="18"/>
  </si>
  <si>
    <t>イスラエルの攻撃により死亡したもの</t>
    <rPh sb="6" eb="8">
      <t>コウゲキ</t>
    </rPh>
    <rPh sb="11" eb="13">
      <t>シボウ</t>
    </rPh>
    <phoneticPr fontId="18"/>
  </si>
  <si>
    <t>https://www.reuters.com/world/middle-east/iran-confirms-death-revolutionary-guards-navy-commander-tangsiri-statement-says-2026-03-30/</t>
  </si>
  <si>
    <t>ドイツ</t>
    <phoneticPr fontId="18"/>
  </si>
  <si>
    <t>ドイツ極右政党、ロシアとの関係修復を主張</t>
    <rPh sb="3" eb="7">
      <t>キョクウセイトウ</t>
    </rPh>
    <rPh sb="13" eb="17">
      <t>カンケイシュウフク</t>
    </rPh>
    <rPh sb="18" eb="20">
      <t>シュチョウ</t>
    </rPh>
    <phoneticPr fontId="18"/>
  </si>
  <si>
    <t>極右「ドイツのための選択肢」がロシアからのエネルギー調達を再主張</t>
    <rPh sb="0" eb="2">
      <t>キョクウ</t>
    </rPh>
    <rPh sb="10" eb="13">
      <t>センタクシ</t>
    </rPh>
    <rPh sb="26" eb="28">
      <t>チョウタツ</t>
    </rPh>
    <rPh sb="29" eb="32">
      <t>サイシュチョウ</t>
    </rPh>
    <phoneticPr fontId="18"/>
  </si>
  <si>
    <t>https://www.reuters.com/business/soaring-fuel-prices-drive-german-far-right-calls-turn-back-russia-2026-03-31/</t>
  </si>
  <si>
    <t>ウクライナとトルコの首脳会談</t>
    <rPh sb="10" eb="14">
      <t>シュノウカイダン</t>
    </rPh>
    <phoneticPr fontId="18"/>
  </si>
  <si>
    <t>両国の安全保障協力の強化やエネルギー調達分野での連携を確認。</t>
    <rPh sb="0" eb="2">
      <t>リョウコク</t>
    </rPh>
    <rPh sb="3" eb="7">
      <t>アンゼンホショウ</t>
    </rPh>
    <rPh sb="10" eb="12">
      <t>キョウカ</t>
    </rPh>
    <rPh sb="18" eb="20">
      <t>チョウタツ</t>
    </rPh>
    <phoneticPr fontId="18"/>
  </si>
  <si>
    <t>国際関係</t>
    <rPh sb="0" eb="2">
      <t>コクサイ</t>
    </rPh>
    <rPh sb="2" eb="4">
      <t>カンケイ</t>
    </rPh>
    <phoneticPr fontId="18"/>
  </si>
  <si>
    <t>トルコ</t>
    <phoneticPr fontId="18"/>
  </si>
  <si>
    <t>https://www.reuters.com/business/aerospace-defense/zelenskiy-arrives-istanbul-talks-with-erdogan-2026-04-04/</t>
  </si>
  <si>
    <t>伊メローニ首相の中東訪問</t>
    <rPh sb="0" eb="1">
      <t>イ</t>
    </rPh>
    <rPh sb="5" eb="7">
      <t>シュショウ</t>
    </rPh>
    <rPh sb="8" eb="12">
      <t>チュウトウホウモン</t>
    </rPh>
    <phoneticPr fontId="18"/>
  </si>
  <si>
    <t>湾岸諸国訪問にてエネルギー供給確保と安全支援の強化を協議</t>
    <rPh sb="2" eb="4">
      <t>ショコク</t>
    </rPh>
    <phoneticPr fontId="18"/>
  </si>
  <si>
    <t>サウジアラビア</t>
    <phoneticPr fontId="18"/>
  </si>
  <si>
    <t>カタール</t>
    <phoneticPr fontId="18"/>
  </si>
  <si>
    <t>UAE</t>
    <phoneticPr fontId="18"/>
  </si>
  <si>
    <t>https://www.reuters.com/world/europe/italys-meloni-flies-gulf-region-energy-security-push-2026-04-03/</t>
  </si>
  <si>
    <t>韓国とフランスの首脳会談</t>
    <rPh sb="0" eb="2">
      <t>カンコク</t>
    </rPh>
    <rPh sb="8" eb="12">
      <t>シュノウカイダン</t>
    </rPh>
    <phoneticPr fontId="18"/>
  </si>
  <si>
    <t>防衛協力と経済エネルギー連携を確認</t>
    <rPh sb="0" eb="4">
      <t>ボウエイキョウリョク</t>
    </rPh>
    <rPh sb="5" eb="7">
      <t>ケイザイ</t>
    </rPh>
    <rPh sb="12" eb="14">
      <t>レンケイ</t>
    </rPh>
    <rPh sb="15" eb="17">
      <t>カクニン</t>
    </rPh>
    <phoneticPr fontId="18"/>
  </si>
  <si>
    <t>https://www.reuters.com/world/asia-pacific/south-korea-france-upgrade-ties-strategic-partnership-blue-house-says-2026-04-03/</t>
  </si>
  <si>
    <t>ロ軍がハリコフへドローン攻撃を継続</t>
    <rPh sb="1" eb="2">
      <t>グン</t>
    </rPh>
    <rPh sb="12" eb="14">
      <t>コウゲキ</t>
    </rPh>
    <rPh sb="15" eb="17">
      <t>ケイゾク</t>
    </rPh>
    <phoneticPr fontId="18"/>
  </si>
  <si>
    <t>https://www.reuters.com/world/russian-forces-maintain-day-long-drone-barrage-ukraines-kharkiv-2026-04-02/</t>
  </si>
  <si>
    <t>ホルムズ海峡封鎖問題に40カ国が協議</t>
    <rPh sb="4" eb="6">
      <t>カイキョウ</t>
    </rPh>
    <rPh sb="6" eb="8">
      <t>フウサ</t>
    </rPh>
    <rPh sb="8" eb="10">
      <t>モンダイ</t>
    </rPh>
    <rPh sb="14" eb="15">
      <t>コク</t>
    </rPh>
    <rPh sb="16" eb="18">
      <t>キョウギ</t>
    </rPh>
    <phoneticPr fontId="18"/>
  </si>
  <si>
    <t>40カ国がイランによるホルムズ海峡封鎖問題について連合を結成し協議</t>
    <rPh sb="17" eb="21">
      <t>フウサモンダイ</t>
    </rPh>
    <phoneticPr fontId="18"/>
  </si>
  <si>
    <t>https://www.reuters.com/business/energy/dozens-countries-discuss-coalition-secure-passage-through-strait-hormuz-2026-04-02/</t>
  </si>
  <si>
    <t>米トランプ大統領がNATO脱退を仄めかす</t>
    <rPh sb="0" eb="1">
      <t>ベイ</t>
    </rPh>
    <rPh sb="5" eb="8">
      <t>ダイトウリョウ</t>
    </rPh>
    <rPh sb="13" eb="15">
      <t>ダッタイ</t>
    </rPh>
    <rPh sb="16" eb="17">
      <t>ホノ</t>
    </rPh>
    <phoneticPr fontId="18"/>
  </si>
  <si>
    <t>欧州の支援拒否を理由にNATO離脱を示唆、各国が強く反発</t>
    <phoneticPr fontId="18"/>
  </si>
  <si>
    <t>外交関係が悪化</t>
  </si>
  <si>
    <t>https://www.reuters.com/business/aerospace-defense/trump-threatens-nato-exit-scaling-up-tensions-with-allies-2026-04-01/</t>
  </si>
  <si>
    <t>セルビア</t>
    <phoneticPr fontId="18"/>
  </si>
  <si>
    <t>セルビア首都での大規模抗議活動</t>
    <rPh sb="4" eb="6">
      <t>シュト</t>
    </rPh>
    <rPh sb="8" eb="13">
      <t>ダイキボコウギ</t>
    </rPh>
    <rPh sb="13" eb="15">
      <t>カツドウ</t>
    </rPh>
    <phoneticPr fontId="18"/>
  </si>
  <si>
    <t>市内で学生らがデモ中に衝突、複数負傷・数人逮捕と報告。</t>
    <phoneticPr fontId="18"/>
  </si>
  <si>
    <t>https://www.reuters.com/world/serbian-students-protesters-clash-with-police-belgrade-2026-03-31/</t>
  </si>
  <si>
    <t>イラン政府が反体制派関係者2名を処刑と発表</t>
    <rPh sb="3" eb="5">
      <t>セイフ</t>
    </rPh>
    <rPh sb="6" eb="13">
      <t>ハンタイセイハカンケイシャ</t>
    </rPh>
    <rPh sb="14" eb="15">
      <t>メイ</t>
    </rPh>
    <rPh sb="16" eb="18">
      <t>ショケイ</t>
    </rPh>
    <rPh sb="19" eb="21">
      <t>ハッピョウ</t>
    </rPh>
    <phoneticPr fontId="18"/>
  </si>
  <si>
    <t>https://www.reuters.com/world/middle-east/iran-executes-two-linked-opposition-group-media-say-2026-04-04/</t>
  </si>
  <si>
    <t>インド</t>
    <phoneticPr fontId="18"/>
  </si>
  <si>
    <t>インドが約7年ぶりにイラン産原油を調達</t>
    <rPh sb="4" eb="5">
      <t>ヤク</t>
    </rPh>
    <rPh sb="6" eb="7">
      <t>ネン</t>
    </rPh>
    <rPh sb="13" eb="16">
      <t>サンゲンユ</t>
    </rPh>
    <rPh sb="17" eb="19">
      <t>チョウタツ</t>
    </rPh>
    <phoneticPr fontId="18"/>
  </si>
  <si>
    <t>https://www.reuters.com/business/energy/india-says-crude-oil-supplies-secured-no-payment-issues-iran-imports-2026-04-04/</t>
  </si>
  <si>
    <t>ロシアとトルコ首脳の電話会談</t>
    <rPh sb="7" eb="9">
      <t>シュノウ</t>
    </rPh>
    <rPh sb="10" eb="14">
      <t>デンワカイダン</t>
    </rPh>
    <phoneticPr fontId="18"/>
  </si>
  <si>
    <t>両首脳が中東情勢を協議、地域安定へ情報共有と調整で一致を確認</t>
    <phoneticPr fontId="18"/>
  </si>
  <si>
    <t>https://www.reuters.com/world/middle-east/putin-holds-call-with-turkeys-erdogan-discuss-middle-east-2026-04-03/</t>
  </si>
  <si>
    <t>日本</t>
    <rPh sb="0" eb="2">
      <t>ニホン</t>
    </rPh>
    <phoneticPr fontId="18"/>
  </si>
  <si>
    <t>オマーン</t>
    <phoneticPr fontId="18"/>
  </si>
  <si>
    <t>https://www.reuters.com/business/energy/japanese-owned-lng-tanker-crosses-strait-hormuz-2026-04-03/</t>
  </si>
  <si>
    <t>イスラエル空爆でヒズボラ最高司令官が死亡</t>
    <rPh sb="5" eb="7">
      <t>クウバク</t>
    </rPh>
    <rPh sb="12" eb="14">
      <t>サイコウ</t>
    </rPh>
    <rPh sb="14" eb="17">
      <t>シレイカン</t>
    </rPh>
    <rPh sb="18" eb="20">
      <t>シボウ</t>
    </rPh>
    <phoneticPr fontId="18"/>
  </si>
  <si>
    <t>https://www.reuters.com/world/middle-east/israeli-military-says-strike-beirut-killed-hezbollah-southern-front-commander-2026-04-01/</t>
  </si>
  <si>
    <t>シリア暫定大統領がイラン紛争不干渉を表明</t>
    <rPh sb="3" eb="8">
      <t>ザンテイダイトウリョウ</t>
    </rPh>
    <rPh sb="12" eb="14">
      <t>フンソウ</t>
    </rPh>
    <rPh sb="14" eb="17">
      <t>フカンショウ</t>
    </rPh>
    <rPh sb="18" eb="20">
      <t>ヒョウメイ</t>
    </rPh>
    <phoneticPr fontId="18"/>
  </si>
  <si>
    <t>「攻撃されない限り参戦せず」と表明、国境強化と外交重視を強調</t>
    <phoneticPr fontId="18"/>
  </si>
  <si>
    <t>https://www.reuters.com/world/europe/syria-will-stay-out-iran-conflict-unless-it-faces-aggression-president-says-2026-03-31/</t>
  </si>
  <si>
    <t>アルゼンチン</t>
    <phoneticPr fontId="18"/>
  </si>
  <si>
    <t>アルゼンチンがイラン革命防衛隊をテロ組織に指定</t>
    <rPh sb="10" eb="15">
      <t>カクメイボウエイタイ</t>
    </rPh>
    <rPh sb="18" eb="20">
      <t>ソシキ</t>
    </rPh>
    <rPh sb="21" eb="23">
      <t>シテイ</t>
    </rPh>
    <phoneticPr fontId="18"/>
  </si>
  <si>
    <t>アメリカと歩調を合わせ、金融制裁適用が可能に</t>
    <rPh sb="8" eb="9">
      <t>ア</t>
    </rPh>
    <phoneticPr fontId="18"/>
  </si>
  <si>
    <t>https://www.reuters.com/world/middle-east/argentina-designates-irans-irgc-terrorist-organization-aligning-with-us-2026-04-01/</t>
  </si>
  <si>
    <t>ブルキナファソ</t>
    <phoneticPr fontId="18"/>
  </si>
  <si>
    <t>ブルキナファソ軍による民間人犠牲増報告</t>
    <rPh sb="17" eb="19">
      <t>ホウコク</t>
    </rPh>
    <phoneticPr fontId="18"/>
  </si>
  <si>
    <t>同国とマリにて軍事政権が民間人を多数殺害と人権団体が発表</t>
    <rPh sb="0" eb="2">
      <t>ドウコク</t>
    </rPh>
    <rPh sb="7" eb="11">
      <t>グンジセイケン</t>
    </rPh>
    <rPh sb="12" eb="15">
      <t>ミンカンジン</t>
    </rPh>
    <rPh sb="16" eb="20">
      <t>タスウサツガイ</t>
    </rPh>
    <rPh sb="21" eb="25">
      <t>ジンケンダンタイ</t>
    </rPh>
    <rPh sb="26" eb="28">
      <t>ハッピョウ</t>
    </rPh>
    <phoneticPr fontId="18"/>
  </si>
  <si>
    <t>マリ</t>
    <phoneticPr fontId="18"/>
  </si>
  <si>
    <t>https://www.reuters.com/world/africa/burkina-mali-troops-kill-more-civilians-than-jihadists-do-data-shows-2026-04-02/</t>
  </si>
  <si>
    <t>エチオピア</t>
    <phoneticPr fontId="18"/>
  </si>
  <si>
    <t>エチオピアと中国が債務問題で合意</t>
    <rPh sb="11" eb="13">
      <t>モンダイ</t>
    </rPh>
    <rPh sb="14" eb="16">
      <t>ゴウイ</t>
    </rPh>
    <phoneticPr fontId="18"/>
  </si>
  <si>
    <t>G20の共通枠組みで債務処理に両国が合意、再編と新融資も協議。</t>
    <rPh sb="15" eb="17">
      <t>リョウコク</t>
    </rPh>
    <phoneticPr fontId="18"/>
  </si>
  <si>
    <t>中国</t>
    <rPh sb="0" eb="2">
      <t>チュウゴク</t>
    </rPh>
    <phoneticPr fontId="18"/>
  </si>
  <si>
    <t>経済に影響</t>
  </si>
  <si>
    <t>経済</t>
  </si>
  <si>
    <t>https://www.reuters.com/world/africa/ethiopia-says-reaches-resolution-with-china-debt-treatment-2026-04-03/</t>
  </si>
  <si>
    <t>コンゴ民主共和国</t>
    <rPh sb="3" eb="8">
      <t>ミンシュキョウワコク</t>
    </rPh>
    <phoneticPr fontId="18"/>
  </si>
  <si>
    <t>DRコンゴ東部でIS系反乱が15人殺害</t>
    <rPh sb="5" eb="7">
      <t>トウブ</t>
    </rPh>
    <phoneticPr fontId="18"/>
  </si>
  <si>
    <t>地域情勢が不安定化</t>
  </si>
  <si>
    <t>https://www.reuters.com/world/africa/islamic-state-linked-rebels-kill-15-eastern-congo-officials-say-2026-04-02/</t>
  </si>
  <si>
    <t>アメリカがベネズエラ暫定大統領への制裁を解除</t>
    <rPh sb="10" eb="15">
      <t>ザンテイダイトウリョウ</t>
    </rPh>
    <rPh sb="17" eb="19">
      <t>セイサイ</t>
    </rPh>
    <rPh sb="20" eb="22">
      <t>カイジョ</t>
    </rPh>
    <phoneticPr fontId="18"/>
  </si>
  <si>
    <t>制裁解除で資産管理や大使館再開の道が開き、国際取引再開に弾み。</t>
    <phoneticPr fontId="18"/>
  </si>
  <si>
    <t>https://www.reuters.com/world/americas/us-lifts-sanctions-venezuelas-interim-president-2026-04-01/</t>
  </si>
  <si>
    <t>欧州連合</t>
    <rPh sb="0" eb="4">
      <t>オウシュウレンゴウ</t>
    </rPh>
    <phoneticPr fontId="18"/>
  </si>
  <si>
    <t>EUがキューバへ230万ドルを人道支援として拠出</t>
    <rPh sb="11" eb="12">
      <t>マン</t>
    </rPh>
    <rPh sb="15" eb="19">
      <t>ジンドウシエン</t>
    </rPh>
    <rPh sb="22" eb="24">
      <t>キョシュツ</t>
    </rPh>
    <phoneticPr fontId="18"/>
  </si>
  <si>
    <t>電力危機と物資不足を受け、食料と飲料水で最大200万人支援を実施へ。</t>
    <phoneticPr fontId="18"/>
  </si>
  <si>
    <t>https://www.reuters.com/world/americas/eu-announces-further-23-million-humanitarian-aid-cuba-2026-04-01/</t>
  </si>
  <si>
    <t>中国がデジタルヒューマンへの規制を強化</t>
    <rPh sb="17" eb="19">
      <t>キョウカ</t>
    </rPh>
    <phoneticPr fontId="18"/>
  </si>
  <si>
    <t>デジタルヒューマンへの明示表示を義務化、未成年への中毒性のあるサービス提供を禁止</t>
    <rPh sb="25" eb="28">
      <t>チュウドクセイ</t>
    </rPh>
    <phoneticPr fontId="18"/>
  </si>
  <si>
    <t>https://www.reuters.com/world/china/china-moves-regulate-digital-humans-bans-addictive-services-children-2026-04-03/</t>
  </si>
  <si>
    <t>ニュージーランド</t>
    <phoneticPr fontId="18"/>
  </si>
  <si>
    <t>ニュージーランドとクック諸島が安全保障宣言に署名</t>
    <rPh sb="15" eb="19">
      <t>アンゼンホショウ</t>
    </rPh>
    <rPh sb="19" eb="21">
      <t>センゲン</t>
    </rPh>
    <rPh sb="22" eb="24">
      <t>ショメイ</t>
    </rPh>
    <phoneticPr fontId="18"/>
  </si>
  <si>
    <t>安全保障協力を深化させ、領域防衛・海上監視・災害支援で連携強化、制度的枠組みも構築へ</t>
    <phoneticPr fontId="18"/>
  </si>
  <si>
    <t>クック諸島</t>
    <rPh sb="3" eb="5">
      <t>ショトウ</t>
    </rPh>
    <phoneticPr fontId="18"/>
  </si>
  <si>
    <t>https://www.reuters.com/world/asia-pacific/new-zealand-cook-islands-sign-defence-security-declaration-2026-04-01/</t>
  </si>
  <si>
    <t>日本等3カ国の船舶がホルムズ海峡を通過</t>
    <rPh sb="0" eb="2">
      <t>ニホン</t>
    </rPh>
    <rPh sb="2" eb="3">
      <t>ナド</t>
    </rPh>
    <rPh sb="5" eb="6">
      <t>コク</t>
    </rPh>
    <rPh sb="7" eb="9">
      <t>センパク</t>
    </rPh>
    <rPh sb="14" eb="16">
      <t>カイキョウ</t>
    </rPh>
    <rPh sb="17" eb="19">
      <t>ツウカ</t>
    </rPh>
    <phoneticPr fontId="18"/>
  </si>
  <si>
    <t>中国</t>
    <rPh sb="0" eb="2">
      <t>チュウゴク</t>
    </rPh>
    <phoneticPr fontId="18"/>
  </si>
  <si>
    <t>中国、サプライチェーン確保のための新制度を発表</t>
    <rPh sb="0" eb="2">
      <t>チュウゴク</t>
    </rPh>
    <rPh sb="11" eb="13">
      <t>カクホ</t>
    </rPh>
    <rPh sb="17" eb="20">
      <t>シンセイド</t>
    </rPh>
    <rPh sb="21" eb="23">
      <t>ハッピョウ</t>
    </rPh>
    <phoneticPr fontId="18"/>
  </si>
  <si>
    <t>外国の制裁や取引停止を念頭に、当局へに査・制裁権限を与え供給安定を目指す</t>
    <rPh sb="11" eb="13">
      <t>ネントウ</t>
    </rPh>
    <phoneticPr fontId="18"/>
  </si>
  <si>
    <t>サプライチェーン</t>
    <phoneticPr fontId="18"/>
  </si>
  <si>
    <t>Bloomberg</t>
    <phoneticPr fontId="18"/>
  </si>
  <si>
    <t>https://www.bloomberg.com/news/articles/2026-04-07/china-issues-new-supply-chain-rules-targeting-foreign-disruption?srnd=phx-politics</t>
  </si>
  <si>
    <t>パキスタン</t>
    <phoneticPr fontId="18"/>
  </si>
  <si>
    <t>パキスタンとイラン首脳の電話会談</t>
    <rPh sb="9" eb="11">
      <t>シュノウ</t>
    </rPh>
    <rPh sb="12" eb="16">
      <t>デンワカイダン</t>
    </rPh>
    <phoneticPr fontId="18"/>
  </si>
  <si>
    <t>イラン情勢を念頭に外交努力を続ける</t>
    <rPh sb="3" eb="5">
      <t>ジョウセイ</t>
    </rPh>
    <rPh sb="6" eb="8">
      <t>ネントウ</t>
    </rPh>
    <rPh sb="9" eb="13">
      <t>ガイコウドリョク</t>
    </rPh>
    <rPh sb="14" eb="15">
      <t>ツヅ</t>
    </rPh>
    <phoneticPr fontId="18"/>
  </si>
  <si>
    <t>紛争</t>
    <rPh sb="0" eb="2">
      <t>フンソウ</t>
    </rPh>
    <phoneticPr fontId="18"/>
  </si>
  <si>
    <t>エジプト</t>
    <phoneticPr fontId="18"/>
  </si>
  <si>
    <t>イラン</t>
    <phoneticPr fontId="18"/>
  </si>
  <si>
    <t>アメリカ</t>
    <phoneticPr fontId="18"/>
  </si>
  <si>
    <t>安全保障に影響</t>
  </si>
  <si>
    <t>首脳会談</t>
  </si>
  <si>
    <t>https://www.bloomberg.com/news/articles/2026-04-07/pakistan-egypt-step-up-diplomacy-as-trump-s-iran-deadline-looms?srnd=phx-politics</t>
  </si>
  <si>
    <t>ベトナム</t>
    <phoneticPr fontId="18"/>
  </si>
  <si>
    <t>ベトナムにてトラム氏が大統領に就任する</t>
    <phoneticPr fontId="18"/>
  </si>
  <si>
    <t>国内政治</t>
    <rPh sb="0" eb="4">
      <t>コクナイセイジ</t>
    </rPh>
    <phoneticPr fontId="18"/>
  </si>
  <si>
    <t>https://www.bloomberg.com/news/articles/2026-04-07/vietnam-s-to-lam-secures-presidency-tightening-grip-on-power?srnd=phx-politics</t>
  </si>
  <si>
    <t>コンゴ民主共和国</t>
    <rPh sb="3" eb="8">
      <t>ミンシュキョウワコク</t>
    </rPh>
    <phoneticPr fontId="18"/>
  </si>
  <si>
    <t>DRコンゴ、アメリカからの第三国移民受け入れへ</t>
    <rPh sb="13" eb="18">
      <t>ダイサンゴクイミン</t>
    </rPh>
    <rPh sb="18" eb="19">
      <t>ウ</t>
    </rPh>
    <rPh sb="20" eb="21">
      <t>イ</t>
    </rPh>
    <phoneticPr fontId="18"/>
  </si>
  <si>
    <t>アメリカから強制送還された移民の受け入れをDR今後が表明。</t>
    <rPh sb="6" eb="10">
      <t>キョウセイソウカン</t>
    </rPh>
    <rPh sb="13" eb="15">
      <t>イミン</t>
    </rPh>
    <rPh sb="16" eb="17">
      <t>ウ</t>
    </rPh>
    <rPh sb="18" eb="19">
      <t>イ</t>
    </rPh>
    <rPh sb="23" eb="25">
      <t>コンゴ</t>
    </rPh>
    <rPh sb="26" eb="28">
      <t>ヒョウメイ</t>
    </rPh>
    <phoneticPr fontId="18"/>
  </si>
  <si>
    <t>移民問題</t>
    <rPh sb="0" eb="4">
      <t>イミンモンダイ</t>
    </rPh>
    <phoneticPr fontId="18"/>
  </si>
  <si>
    <t>https://www.bloomberg.com/news/articles/2026-04-05/congo-is-latest-country-to-take-third-country-deportees-from-us?srnd=phx-politics</t>
  </si>
  <si>
    <t>UAEの石油化学プラントがイランの攻撃を受ける</t>
    <rPh sb="4" eb="8">
      <t>セキユカガク</t>
    </rPh>
    <rPh sb="17" eb="19">
      <t>コウゲキ</t>
    </rPh>
    <rPh sb="20" eb="21">
      <t>ウ</t>
    </rPh>
    <phoneticPr fontId="18"/>
  </si>
  <si>
    <t>石油プラントの操業が停止</t>
    <rPh sb="0" eb="2">
      <t>セキユ</t>
    </rPh>
    <phoneticPr fontId="18"/>
  </si>
  <si>
    <t>UAE</t>
    <phoneticPr fontId="18"/>
  </si>
  <si>
    <t>https://www.bloomberg.com/news/articles/2026-04-05/borouge-suspends-abu-dhabi-plant-operations-after-multiple-fires?srnd=phx-politics</t>
  </si>
  <si>
    <t>アメリカが故ソレイマニ将軍の姪を逮捕</t>
    <rPh sb="5" eb="6">
      <t>コ</t>
    </rPh>
    <phoneticPr fontId="18"/>
  </si>
  <si>
    <t>米国内で永住権を所持していたが、これがはく奪される</t>
    <rPh sb="0" eb="3">
      <t>ベイコクナイ</t>
    </rPh>
    <rPh sb="4" eb="7">
      <t>エイジュウケン</t>
    </rPh>
    <rPh sb="8" eb="10">
      <t>ショジ</t>
    </rPh>
    <rPh sb="21" eb="22">
      <t>ダツ</t>
    </rPh>
    <phoneticPr fontId="18"/>
  </si>
  <si>
    <t>https://www.bloomberg.com/news/articles/2026-04-04/us-arrests-niece-of-late-iranian-general-soleimani?srnd=phx-politics</t>
  </si>
  <si>
    <t>ロシア</t>
    <phoneticPr fontId="18"/>
  </si>
  <si>
    <t>ロシア、国連安保理にてホルムズ海峡の航行再開に向けた動きを非難</t>
    <rPh sb="4" eb="9">
      <t>コクレンアンポリ</t>
    </rPh>
    <rPh sb="15" eb="17">
      <t>カイキョウ</t>
    </rPh>
    <rPh sb="18" eb="22">
      <t>コウコウサイカイ</t>
    </rPh>
    <rPh sb="23" eb="24">
      <t>ム</t>
    </rPh>
    <rPh sb="26" eb="27">
      <t>ウゴ</t>
    </rPh>
    <rPh sb="29" eb="31">
      <t>ヒナン</t>
    </rPh>
    <phoneticPr fontId="18"/>
  </si>
  <si>
    <t>https://www.bloomberg.com/news/articles/2026-04-03/russia-dismisses-push-at-un-to-force-open-the-strait-of-hormuz?srnd=phx-politics</t>
  </si>
  <si>
    <t>ミャンマー</t>
    <phoneticPr fontId="18"/>
  </si>
  <si>
    <t>ミャンマーの大統領選挙</t>
    <rPh sb="6" eb="11">
      <t>ダイトウリョウセンキョ</t>
    </rPh>
    <phoneticPr fontId="18"/>
  </si>
  <si>
    <t>軍事政権指導者が大統領に選出される</t>
    <rPh sb="0" eb="7">
      <t>グンジセイケンシドウシャ</t>
    </rPh>
    <rPh sb="8" eb="11">
      <t>ダイトウリョウ</t>
    </rPh>
    <rPh sb="12" eb="14">
      <t>センシュツ</t>
    </rPh>
    <phoneticPr fontId="18"/>
  </si>
  <si>
    <t>https://www.bloomberg.com/news/articles/2026-04-03/myanmar-junta-retains-power-after-its-chief-wins-the-presidency?srnd=phx-politics</t>
  </si>
  <si>
    <t>インド</t>
    <phoneticPr fontId="18"/>
  </si>
  <si>
    <t>インド、英国主導のホルムズ海峡再開に向けた協議へ参加表明</t>
    <rPh sb="4" eb="6">
      <t>エイコク</t>
    </rPh>
    <rPh sb="6" eb="8">
      <t>シュドウ</t>
    </rPh>
    <rPh sb="13" eb="15">
      <t>カイキョウ</t>
    </rPh>
    <rPh sb="15" eb="17">
      <t>サイカイ</t>
    </rPh>
    <rPh sb="18" eb="19">
      <t>ム</t>
    </rPh>
    <rPh sb="21" eb="23">
      <t>キョウギ</t>
    </rPh>
    <rPh sb="24" eb="26">
      <t>サンカ</t>
    </rPh>
    <rPh sb="26" eb="28">
      <t>ヒョウメイ</t>
    </rPh>
    <phoneticPr fontId="18"/>
  </si>
  <si>
    <t>イギリス</t>
    <phoneticPr fontId="18"/>
  </si>
  <si>
    <t>https://www.bloomberg.com/news/articles/2026-04-02/india-to-participate-in-uk-led-initiative-to-reopen-hormuz?srnd=phx-politics</t>
  </si>
  <si>
    <t>ロシアがマダガスカル軍への武器供給強化と報道</t>
    <rPh sb="10" eb="11">
      <t>グン</t>
    </rPh>
    <rPh sb="13" eb="19">
      <t>ブキキョウキュウキョウカ</t>
    </rPh>
    <rPh sb="20" eb="22">
      <t>ホウドウ</t>
    </rPh>
    <phoneticPr fontId="18"/>
  </si>
  <si>
    <t>外交</t>
    <rPh sb="0" eb="2">
      <t>ガイコウ</t>
    </rPh>
    <phoneticPr fontId="18"/>
  </si>
  <si>
    <t>マダガスカル</t>
    <phoneticPr fontId="18"/>
  </si>
  <si>
    <t>https://www.bloomberg.com/news/articles/2026-04-02/russia-steps-up-arms-supplies-to-madagascar-s-military?srnd=phx-politics</t>
  </si>
  <si>
    <t>南スーダン</t>
    <rPh sb="0" eb="1">
      <t>ミナミ</t>
    </rPh>
    <phoneticPr fontId="18"/>
  </si>
  <si>
    <t>南スーダンにて国会議長と副議長が解任される</t>
    <rPh sb="0" eb="1">
      <t>ミナミ</t>
    </rPh>
    <rPh sb="7" eb="11">
      <t>コッカイギチョウ</t>
    </rPh>
    <rPh sb="12" eb="15">
      <t>フクギチョウ</t>
    </rPh>
    <rPh sb="16" eb="18">
      <t>カイニン</t>
    </rPh>
    <phoneticPr fontId="18"/>
  </si>
  <si>
    <t>Reuters</t>
    <phoneticPr fontId="18"/>
  </si>
  <si>
    <t>https://www.reuters.com/world/africa/south-sudans-kiir-sacks-parliament-speaker-deputy-2026-04-07/</t>
  </si>
  <si>
    <t>チャド</t>
    <phoneticPr fontId="18"/>
  </si>
  <si>
    <t>チャドの先遣隊と国連の支援部隊がハイチに到着</t>
    <rPh sb="4" eb="7">
      <t>センケンタイ</t>
    </rPh>
    <rPh sb="8" eb="10">
      <t>コクレン</t>
    </rPh>
    <rPh sb="11" eb="15">
      <t>シエンブタイ</t>
    </rPh>
    <rPh sb="20" eb="22">
      <t>トウチャク</t>
    </rPh>
    <phoneticPr fontId="18"/>
  </si>
  <si>
    <t>ハイチ</t>
    <phoneticPr fontId="18"/>
  </si>
  <si>
    <t>https://www.reuters.com/world/americas/chadian-forces-arrive-haiti-fight-gangs-part-new-un-backed-force-2026-04-01/</t>
  </si>
  <si>
    <t>アフガニスタン</t>
    <phoneticPr fontId="18"/>
  </si>
  <si>
    <t>アフガニスタンの地震被害</t>
    <rPh sb="8" eb="12">
      <t>ジシンヒガイ</t>
    </rPh>
    <phoneticPr fontId="18"/>
  </si>
  <si>
    <t>災害</t>
    <rPh sb="0" eb="2">
      <t>サイガイ</t>
    </rPh>
    <phoneticPr fontId="18"/>
  </si>
  <si>
    <t>https://www.reuters.com/business/environment/earthquake-magnitude-59-strikes-afghanistans-hindu-kush-region-gfz-says-2026-04-03/</t>
  </si>
  <si>
    <t>ギリシャ</t>
    <phoneticPr fontId="18"/>
  </si>
  <si>
    <t>ギリシャが内閣改造を実施</t>
    <rPh sb="5" eb="9">
      <t>ナイカクカイゾウ</t>
    </rPh>
    <rPh sb="10" eb="12">
      <t>ジッシ</t>
    </rPh>
    <phoneticPr fontId="18"/>
  </si>
  <si>
    <t>https://www.reuters.com/business/finance/greek-pm-reshuffle-cabinet-amid-farm-fraud-scandal-over-eu-aid-2026-04-03/</t>
  </si>
  <si>
    <t>ウクライナ</t>
    <phoneticPr fontId="18"/>
  </si>
  <si>
    <t>ウクライナのドローン攻撃でロシアの製油所に被害</t>
    <rPh sb="10" eb="12">
      <t>コウゲキ</t>
    </rPh>
    <rPh sb="17" eb="20">
      <t>セイユジョ</t>
    </rPh>
    <rPh sb="21" eb="23">
      <t>ヒガイ</t>
    </rPh>
    <phoneticPr fontId="18"/>
  </si>
  <si>
    <t>バルト海沿岸のノルシ石油精製所が被害を受ける</t>
    <rPh sb="3" eb="6">
      <t>カイエンガン</t>
    </rPh>
    <rPh sb="10" eb="15">
      <t>セキユセイセイジョ</t>
    </rPh>
    <rPh sb="16" eb="18">
      <t>ヒガイ</t>
    </rPh>
    <rPh sb="19" eb="20">
      <t>ウ</t>
    </rPh>
    <phoneticPr fontId="18"/>
  </si>
  <si>
    <t>https://www.reuters.com/world/oil-pipeline-russias-primorsk-damaged-drone-attack-governor-says-2026-04-05/</t>
  </si>
  <si>
    <t>イランがサウジアラビアの石油コンビナートを攻撃</t>
    <rPh sb="12" eb="14">
      <t>セキユ</t>
    </rPh>
    <rPh sb="21" eb="23">
      <t>コウゲキ</t>
    </rPh>
    <phoneticPr fontId="18"/>
  </si>
  <si>
    <t>サウジアラビア</t>
    <phoneticPr fontId="18"/>
  </si>
  <si>
    <t>https://www.reuters.com/world/middle-east/iran-has-attacked-saudi-petrochemical-complex-jubail-fars-news-agency-says-2026-04-07/</t>
  </si>
  <si>
    <t>アメリカがイランのハルグ島を攻撃</t>
    <rPh sb="12" eb="13">
      <t>シマ</t>
    </rPh>
    <rPh sb="14" eb="16">
      <t>コウゲキ</t>
    </rPh>
    <phoneticPr fontId="18"/>
  </si>
  <si>
    <t>軍事施設を標的にしたと発表</t>
    <rPh sb="0" eb="4">
      <t>グンジシセツ</t>
    </rPh>
    <rPh sb="5" eb="7">
      <t>ヒョウテキ</t>
    </rPh>
    <rPh sb="11" eb="13">
      <t>ハッピョウ</t>
    </rPh>
    <phoneticPr fontId="18"/>
  </si>
  <si>
    <t>https://www.reuters.com/world/middle-east/us-strikes-military-targets-irans-kharg-island-us-official-says-2026-04-07/</t>
  </si>
  <si>
    <t>イラン革命防衛隊情報部門トップが死亡</t>
    <rPh sb="3" eb="12">
      <t>カクメイボウエイタイジョウホウブモン</t>
    </rPh>
    <rPh sb="16" eb="18">
      <t>シボウ</t>
    </rPh>
    <phoneticPr fontId="18"/>
  </si>
  <si>
    <t>アメリカの空爆により死亡したと発表される</t>
    <rPh sb="5" eb="7">
      <t>クウバク</t>
    </rPh>
    <rPh sb="10" eb="12">
      <t>シボウ</t>
    </rPh>
    <rPh sb="15" eb="17">
      <t>ハッピョウ</t>
    </rPh>
    <phoneticPr fontId="18"/>
  </si>
  <si>
    <t>https://www.reuters.com/world/head-irans-revolutionary-guards-intelligence-organisation-announced-dead-state-2026-04-06/</t>
  </si>
  <si>
    <t>イラン、アメリカによる停戦案を拒否</t>
    <rPh sb="11" eb="14">
      <t>テイセンアン</t>
    </rPh>
    <rPh sb="15" eb="17">
      <t>キョヒ</t>
    </rPh>
    <phoneticPr fontId="18"/>
  </si>
  <si>
    <t>https://www.reuters.com/world/iran-rejects-ceasefire-response-proposals-emphasises-need-permanent-end-war-irna-2026-04-06/</t>
  </si>
  <si>
    <t>ウクライナとシリアの首脳会談</t>
    <rPh sb="10" eb="14">
      <t>シュノウカイダン</t>
    </rPh>
    <phoneticPr fontId="18"/>
  </si>
  <si>
    <t>イラン情勢を受け安全保障協力の強化で合意</t>
    <rPh sb="3" eb="5">
      <t>ジョウセイ</t>
    </rPh>
    <rPh sb="6" eb="7">
      <t>ウ</t>
    </rPh>
    <rPh sb="8" eb="14">
      <t>アンゼンホショウキョウリョク</t>
    </rPh>
    <rPh sb="15" eb="17">
      <t>キョウカ</t>
    </rPh>
    <rPh sb="18" eb="20">
      <t>ゴウイ</t>
    </rPh>
    <phoneticPr fontId="18"/>
  </si>
  <si>
    <t>国際関係</t>
    <rPh sb="0" eb="4">
      <t>コクサイカンケイ</t>
    </rPh>
    <phoneticPr fontId="18"/>
  </si>
  <si>
    <t>シリア</t>
    <phoneticPr fontId="18"/>
  </si>
  <si>
    <t>https://www.reuters.com/world/middle-east/zelenskiy-syria-meet-president-sharaa-sources-say-2026-04-05/</t>
  </si>
  <si>
    <t>イラン副外相、ホルムズ海峡通過には許可が必要と発言</t>
    <rPh sb="3" eb="6">
      <t>フクガイショウ</t>
    </rPh>
    <rPh sb="11" eb="13">
      <t>カイキョウ</t>
    </rPh>
    <rPh sb="13" eb="15">
      <t>ツウカ</t>
    </rPh>
    <rPh sb="17" eb="19">
      <t>キョカ</t>
    </rPh>
    <rPh sb="20" eb="22">
      <t>ヒツヨウ</t>
    </rPh>
    <rPh sb="23" eb="25">
      <t>ハツゲン</t>
    </rPh>
    <phoneticPr fontId="18"/>
  </si>
  <si>
    <t>停戦合意後も封鎖状態にある模様</t>
    <rPh sb="0" eb="5">
      <t>テイセンゴウイゴ</t>
    </rPh>
    <rPh sb="6" eb="10">
      <t>フウサジョウタイ</t>
    </rPh>
    <rPh sb="13" eb="15">
      <t>モヨウ</t>
    </rPh>
    <phoneticPr fontId="18"/>
  </si>
  <si>
    <t>海底ケーブルやパイプラインの保護として警告</t>
    <rPh sb="0" eb="2">
      <t>カイテイ</t>
    </rPh>
    <rPh sb="14" eb="16">
      <t>ホゴ</t>
    </rPh>
    <rPh sb="19" eb="21">
      <t>ケイコク</t>
    </rPh>
    <phoneticPr fontId="18"/>
  </si>
  <si>
    <t>軍事的緊張</t>
    <rPh sb="0" eb="5">
      <t>グンジテキキンチョウ</t>
    </rPh>
    <phoneticPr fontId="18"/>
  </si>
  <si>
    <t>アメリカとイランが2週間の停戦に合意</t>
    <rPh sb="10" eb="12">
      <t>シュウカン</t>
    </rPh>
    <rPh sb="13" eb="15">
      <t>テイセン</t>
    </rPh>
    <rPh sb="16" eb="18">
      <t>ゴウイ</t>
    </rPh>
    <phoneticPr fontId="18"/>
  </si>
  <si>
    <t>パキスタンの仲介により実現、4/10に直接交渉を予定</t>
    <rPh sb="6" eb="8">
      <t>チュウカイ</t>
    </rPh>
    <rPh sb="11" eb="13">
      <t>ジツゲン</t>
    </rPh>
    <rPh sb="19" eb="23">
      <t>チョクセツコウショウ</t>
    </rPh>
    <rPh sb="24" eb="26">
      <t>ヨテイ</t>
    </rPh>
    <phoneticPr fontId="18"/>
  </si>
  <si>
    <t>イギリスが米イラン停戦合意対象にレバノンを含めるよう要請</t>
    <rPh sb="5" eb="6">
      <t>ベイ</t>
    </rPh>
    <rPh sb="9" eb="13">
      <t>テイセンゴウイ</t>
    </rPh>
    <rPh sb="13" eb="15">
      <t>タイショウ</t>
    </rPh>
    <rPh sb="21" eb="22">
      <t>フク</t>
    </rPh>
    <rPh sb="26" eb="28">
      <t>ヨウセイ</t>
    </rPh>
    <phoneticPr fontId="18"/>
  </si>
  <si>
    <t>イスラエルによるレバノン攻撃を受けたもの</t>
    <rPh sb="12" eb="14">
      <t>コウゲキ</t>
    </rPh>
    <rPh sb="15" eb="16">
      <t>ウ</t>
    </rPh>
    <phoneticPr fontId="18"/>
  </si>
  <si>
    <t>イスラエルがレバノンへの大規模攻撃を実施</t>
    <rPh sb="12" eb="17">
      <t>ダイキボコウゲキ</t>
    </rPh>
    <rPh sb="18" eb="20">
      <t>ジッシ</t>
    </rPh>
    <phoneticPr fontId="18"/>
  </si>
  <si>
    <t>3月以来最大規模、ヒズボラを狙い全土を攻撃</t>
    <rPh sb="1" eb="2">
      <t>ガツ</t>
    </rPh>
    <rPh sb="2" eb="8">
      <t>イライサイダイキボ</t>
    </rPh>
    <rPh sb="14" eb="15">
      <t>ネラ</t>
    </rPh>
    <rPh sb="16" eb="18">
      <t>ゼンド</t>
    </rPh>
    <rPh sb="19" eb="21">
      <t>コウゲキ</t>
    </rPh>
    <phoneticPr fontId="18"/>
  </si>
  <si>
    <t>日本とイラン首脳の電話会談</t>
    <rPh sb="0" eb="2">
      <t>ニホン</t>
    </rPh>
    <rPh sb="6" eb="8">
      <t>シュノウ</t>
    </rPh>
    <rPh sb="9" eb="13">
      <t>デンワカイダン</t>
    </rPh>
    <phoneticPr fontId="18"/>
  </si>
  <si>
    <t>和平合意とホルムズ海峡周辺情勢について協議を実施</t>
    <rPh sb="0" eb="4">
      <t>ワヘイゴウイ</t>
    </rPh>
    <rPh sb="9" eb="11">
      <t>カイキョウ</t>
    </rPh>
    <rPh sb="11" eb="15">
      <t>シュウヘンジョウセイ</t>
    </rPh>
    <rPh sb="19" eb="21">
      <t>キョウギ</t>
    </rPh>
    <rPh sb="22" eb="24">
      <t>ジッシ</t>
    </rPh>
    <phoneticPr fontId="18"/>
  </si>
  <si>
    <t>マダガスカルにて非常事態宣言が発令</t>
    <rPh sb="8" eb="14">
      <t>ヒジョウジタイセンゲン</t>
    </rPh>
    <rPh sb="15" eb="17">
      <t>ハツレイ</t>
    </rPh>
    <phoneticPr fontId="18"/>
  </si>
  <si>
    <t>中東からの燃料供給途絶により15日間の国家エネルギー非常事態が宣言される</t>
    <rPh sb="0" eb="2">
      <t>チュウトウ</t>
    </rPh>
    <rPh sb="5" eb="11">
      <t>ネンリョウキョウキュウトゼツ</t>
    </rPh>
    <rPh sb="16" eb="18">
      <t>ニチカン</t>
    </rPh>
    <rPh sb="19" eb="21">
      <t>コッカ</t>
    </rPh>
    <rPh sb="26" eb="30">
      <t>ヒジョウジタイ</t>
    </rPh>
    <rPh sb="31" eb="33">
      <t>センゲン</t>
    </rPh>
    <phoneticPr fontId="18"/>
  </si>
  <si>
    <t>中ロが国連安保理のホルムズ海峡に関する決議案に拒否権を行使</t>
    <rPh sb="0" eb="1">
      <t>チュウ</t>
    </rPh>
    <rPh sb="3" eb="8">
      <t>コクレンアンポリ</t>
    </rPh>
    <rPh sb="13" eb="15">
      <t>カイキョウ</t>
    </rPh>
    <rPh sb="16" eb="17">
      <t>カン</t>
    </rPh>
    <rPh sb="19" eb="22">
      <t>ケツギアン</t>
    </rPh>
    <rPh sb="23" eb="26">
      <t>キョヒケン</t>
    </rPh>
    <rPh sb="27" eb="29">
      <t>コウシ</t>
    </rPh>
    <phoneticPr fontId="18"/>
  </si>
  <si>
    <t>ホルムズ海峡再開に向けた防衛努力協調を各国に促す決議案に対し拒否権を行使</t>
    <rPh sb="24" eb="27">
      <t>ケツギアン</t>
    </rPh>
    <rPh sb="28" eb="29">
      <t>タイ</t>
    </rPh>
    <rPh sb="30" eb="33">
      <t>キョヒケン</t>
    </rPh>
    <rPh sb="34" eb="36">
      <t>コウシ</t>
    </rPh>
    <phoneticPr fontId="18"/>
  </si>
  <si>
    <t>メキシコにて新たな外務大臣が任命される</t>
    <rPh sb="6" eb="7">
      <t>アラ</t>
    </rPh>
    <rPh sb="9" eb="13">
      <t>ガイムダイジン</t>
    </rPh>
    <rPh sb="14" eb="16">
      <t>ニンメイ</t>
    </rPh>
    <phoneticPr fontId="18"/>
  </si>
  <si>
    <t>パラグアイにて新たな財務大臣が任命される</t>
    <rPh sb="7" eb="8">
      <t>アラ</t>
    </rPh>
    <rPh sb="10" eb="14">
      <t>ザイムダイジン</t>
    </rPh>
    <rPh sb="15" eb="17">
      <t>ニンメイ</t>
    </rPh>
    <phoneticPr fontId="18"/>
  </si>
  <si>
    <t>北朝鮮</t>
    <rPh sb="0" eb="3">
      <t>キタチョウセン</t>
    </rPh>
    <phoneticPr fontId="18"/>
  </si>
  <si>
    <t>北朝鮮が複数の弾道ミサイルを発射</t>
    <rPh sb="4" eb="6">
      <t>フクスウ</t>
    </rPh>
    <rPh sb="7" eb="9">
      <t>ダンドウ</t>
    </rPh>
    <phoneticPr fontId="18"/>
  </si>
  <si>
    <t>アフガニスタンとパキスタンの和平協議</t>
    <rPh sb="14" eb="18">
      <t>ワヘイキョウギ</t>
    </rPh>
    <phoneticPr fontId="18"/>
  </si>
  <si>
    <t>包括的な解決策の模索で合意、中国の仲介による</t>
    <rPh sb="0" eb="3">
      <t>ホウカツテキ</t>
    </rPh>
    <rPh sb="4" eb="7">
      <t>カイケツサク</t>
    </rPh>
    <rPh sb="8" eb="10">
      <t>モサク</t>
    </rPh>
    <rPh sb="11" eb="13">
      <t>ゴウイ</t>
    </rPh>
    <rPh sb="14" eb="16">
      <t>チュウゴク</t>
    </rPh>
    <rPh sb="17" eb="19">
      <t>チュウカイ</t>
    </rPh>
    <phoneticPr fontId="18"/>
  </si>
  <si>
    <t>イランがサウジアラビアの石油コンビナートを攻撃</t>
    <phoneticPr fontId="18"/>
  </si>
  <si>
    <t>https://www.bloomberg.com/news/articles/2026-04-09/iran-deputy-minister-says-ships-need-army-consent-to-pass-hormuz?srnd=phx-politics</t>
  </si>
  <si>
    <t>https://www.bloomberg.com/news/articles/2026-04-09/uk-warns-russian-subs-to-stay-away-after-month-long-incursion?srnd=phx-politics</t>
  </si>
  <si>
    <t>https://www.bloomberg.com/news/articles/2026-04-08/us-iran-ceasefire-what-s-been-agreed-will-the-strait-of-hormuz-reopen?srnd=phx-politics</t>
  </si>
  <si>
    <t>https://www.bloomberg.com/news/articles/2026-04-09/uk-to-urge-lebanon-s-inclusion-in-ceasefire-between-us-and-iran?srnd=phx-politics</t>
  </si>
  <si>
    <t>https://www.bloomberg.com/news/articles/2026-04-08/israel-intensifies-lebanon-strikes-with-ceasefire-deal-in-doubt?srnd=phx-politics</t>
  </si>
  <si>
    <t>https://www.bloomberg.com/news/articles/2026-04-08/japan-s-pm-takaichi-speaks-with-iran-s-pezeshkian-reports-say?srnd=phx-politics</t>
  </si>
  <si>
    <t>https://www.bloomberg.com/news/articles/2026-04-08/madagascar-declares-state-of-emergency-over-energy-supply-woes?srnd=phx-politics</t>
  </si>
  <si>
    <t>https://www.bloomberg.com/news/articles/2026-04-07/china-and-russia-veto-security-council-resolution-on-hormuz?srnd=phx-politics</t>
  </si>
  <si>
    <t>https://www.reuters.com/world/americas/mexico-senate-confirms-north-america-diplomat-velasco-foreign-minister-2026-04-08/</t>
  </si>
  <si>
    <t>https://www.reuters.com/world/americas/paraguay-president-taps-oscar-lovera-economy-minister-2026-04-08/</t>
  </si>
  <si>
    <t>https://www.reuters.com/world/asia-pacific/north-korea-says-south-koreas-true-colours-enemy-state-unchanged-dashing-seouls-2026-04-07/</t>
  </si>
  <si>
    <t>https://www.reuters.com/world/china/china-says-afghanistan-pakistan-agree-explore-comprehensive-solution-peace-talks-2026-04-08/</t>
  </si>
  <si>
    <t>ブラジル</t>
    <phoneticPr fontId="18"/>
  </si>
  <si>
    <t>ブラジルとアメリカ、共同組織犯罪対策で一致</t>
    <rPh sb="19" eb="21">
      <t>イッチ</t>
    </rPh>
    <phoneticPr fontId="18"/>
  </si>
  <si>
    <t>ブラジルとアメリカが税務データ連携、武器・薬物密輸を摘発へ</t>
    <phoneticPr fontId="18"/>
  </si>
  <si>
    <t>エクアドル</t>
    <phoneticPr fontId="18"/>
  </si>
  <si>
    <t>エクアドルがコロンビアへ関税100％引き上げを通達</t>
    <rPh sb="12" eb="14">
      <t>カンゼイ</t>
    </rPh>
    <rPh sb="18" eb="19">
      <t>ヒ</t>
    </rPh>
    <rPh sb="20" eb="21">
      <t>ア</t>
    </rPh>
    <rPh sb="23" eb="25">
      <t>ツウタツ</t>
    </rPh>
    <phoneticPr fontId="18"/>
  </si>
  <si>
    <t>コロンビアからの輸入関税を5月1日から100％に引上げ、通商関係が一段と悪化</t>
    <phoneticPr fontId="18"/>
  </si>
  <si>
    <t>コロンビア</t>
    <phoneticPr fontId="18"/>
  </si>
  <si>
    <t>ベネズエラにて新たな検事総長が就任</t>
    <rPh sb="7" eb="8">
      <t>アラ</t>
    </rPh>
    <rPh sb="10" eb="14">
      <t>ケンジソウチョウ</t>
    </rPh>
    <rPh sb="15" eb="17">
      <t>シュウニン</t>
    </rPh>
    <phoneticPr fontId="18"/>
  </si>
  <si>
    <t>ロドリゲス大統領代行の盟友、デボエ氏が検事総長に承認</t>
    <rPh sb="17" eb="18">
      <t>ウジ</t>
    </rPh>
    <phoneticPr fontId="18"/>
  </si>
  <si>
    <t>ベネズエラが鉱業法を可決</t>
    <rPh sb="6" eb="9">
      <t>コウギョウホウ</t>
    </rPh>
    <rPh sb="10" eb="12">
      <t>カケツ</t>
    </rPh>
    <phoneticPr fontId="18"/>
  </si>
  <si>
    <t>外資参入を認め、金や戦略鉱物を民間・外資に開放</t>
    <phoneticPr fontId="18"/>
  </si>
  <si>
    <t>ベネズエラ暫定大統領のグレナダ訪問</t>
    <rPh sb="5" eb="10">
      <t>ザンテイダイトウリョウ</t>
    </rPh>
    <rPh sb="15" eb="17">
      <t>ホウモン</t>
    </rPh>
    <phoneticPr fontId="18"/>
  </si>
  <si>
    <t>グレナダ</t>
    <phoneticPr fontId="18"/>
  </si>
  <si>
    <t>中国外相の北朝鮮訪問</t>
    <rPh sb="0" eb="4">
      <t>チュウゴクガイショウ</t>
    </rPh>
    <rPh sb="5" eb="10">
      <t>キタチョウセンホウモン</t>
    </rPh>
    <phoneticPr fontId="18"/>
  </si>
  <si>
    <t>金総書記との会談で両国交流と連携の強化を確認</t>
    <rPh sb="0" eb="1">
      <t>キン</t>
    </rPh>
    <rPh sb="1" eb="4">
      <t>ソウショキ</t>
    </rPh>
    <rPh sb="6" eb="8">
      <t>カイダン</t>
    </rPh>
    <rPh sb="9" eb="11">
      <t>リョウコク</t>
    </rPh>
    <rPh sb="17" eb="19">
      <t>キョウカ</t>
    </rPh>
    <rPh sb="20" eb="22">
      <t>カクニン</t>
    </rPh>
    <phoneticPr fontId="18"/>
  </si>
  <si>
    <t>オーストラリア</t>
    <phoneticPr fontId="18"/>
  </si>
  <si>
    <t>豪・シンガポールの首脳会談</t>
    <rPh sb="0" eb="1">
      <t>ゴウ</t>
    </rPh>
    <rPh sb="9" eb="13">
      <t>シュノウカイダン</t>
    </rPh>
    <phoneticPr fontId="18"/>
  </si>
  <si>
    <t>燃料供給の連携強化と中東情勢について協議</t>
    <rPh sb="10" eb="14">
      <t>チュウトウジョウセイ</t>
    </rPh>
    <rPh sb="18" eb="20">
      <t>キョウギ</t>
    </rPh>
    <phoneticPr fontId="18"/>
  </si>
  <si>
    <t>シンガポール</t>
    <phoneticPr fontId="18"/>
  </si>
  <si>
    <t>ネタニヤフ首相の汚職裁判再開へ</t>
    <rPh sb="5" eb="7">
      <t>シュショウ</t>
    </rPh>
    <rPh sb="8" eb="14">
      <t>オショクサイバンサイカイ</t>
    </rPh>
    <phoneticPr fontId="18"/>
  </si>
  <si>
    <t>イランへの攻撃停止で非常事態宣言の解除を受け。ネタニヤフ首相は再開延長を要請</t>
    <rPh sb="14" eb="16">
      <t>センゲン</t>
    </rPh>
    <rPh sb="17" eb="19">
      <t>カイジョ</t>
    </rPh>
    <rPh sb="20" eb="21">
      <t>ウ</t>
    </rPh>
    <rPh sb="28" eb="30">
      <t>シュショウ</t>
    </rPh>
    <rPh sb="31" eb="33">
      <t>サイカイ</t>
    </rPh>
    <rPh sb="33" eb="35">
      <t>エンチョウ</t>
    </rPh>
    <rPh sb="36" eb="38">
      <t>ヨウセイ</t>
    </rPh>
    <phoneticPr fontId="18"/>
  </si>
  <si>
    <t>イスラエル内閣がヨルダン川西岸への入植地拡大を承認</t>
    <rPh sb="5" eb="7">
      <t>ナイカク</t>
    </rPh>
    <rPh sb="12" eb="15">
      <t>ガワセイガン</t>
    </rPh>
    <phoneticPr fontId="18"/>
  </si>
  <si>
    <t>ヨルダン川西岸で34の新入植地が承認される</t>
    <phoneticPr fontId="18"/>
  </si>
  <si>
    <t>日本企業の投資リスク増、資金洗浄への監視が強化</t>
    <phoneticPr fontId="18"/>
  </si>
  <si>
    <t>https://www.reuters.com/world/americas/brazil-us-launch-joint-action-fight-organized-crime-brazil-says-2026-04-10/</t>
  </si>
  <si>
    <t>サプライチェーンの混乱で海運・資源調達のコスト上昇が懸念</t>
    <phoneticPr fontId="18"/>
  </si>
  <si>
    <t>https://www.reuters.com/world/americas/ecuador-raises-tariffs-colombia-100-50-2026-04-09/</t>
  </si>
  <si>
    <t>同国の政情不安・投資・取引リスク増が危惧</t>
    <rPh sb="0" eb="2">
      <t>ドウコク</t>
    </rPh>
    <rPh sb="18" eb="20">
      <t>キグ</t>
    </rPh>
    <phoneticPr fontId="18"/>
  </si>
  <si>
    <t>https://www.reuters.com/world/americas/venezuela-lawmakers-confirm-devoe-new-attorney-general-2026-04-09/</t>
  </si>
  <si>
    <t>希少資源調達の新たな機会</t>
    <phoneticPr fontId="18"/>
  </si>
  <si>
    <t>https://www.bloomberg.com/news/articles/2026-04-09/venezuela-passes-mining-law-as-rodriguez-courts-investment?srnd=phx-politics</t>
  </si>
  <si>
    <t>https://www.reuters.com/world/americas/venezuelas-acting-president-rodriguez-grenada-first-foreign-visit-2026-04-09/</t>
  </si>
  <si>
    <t>日本の安全保障と外交調整に影響、地域の緊張増大の懸念</t>
    <rPh sb="16" eb="18">
      <t>チイキ</t>
    </rPh>
    <rPh sb="21" eb="23">
      <t>ゾウダイ</t>
    </rPh>
    <phoneticPr fontId="18"/>
  </si>
  <si>
    <t>https://www.reuters.com/world/china/foreign-minister-says-china-is-willing-strengthen-exchanges-with-north-korea-2026-04-10/</t>
  </si>
  <si>
    <t>燃料供給の安定により海上物流リスク減少の可能性</t>
    <rPh sb="2" eb="4">
      <t>キョウキュウ</t>
    </rPh>
    <rPh sb="5" eb="7">
      <t>アンテイ</t>
    </rPh>
    <phoneticPr fontId="18"/>
  </si>
  <si>
    <t>https://www.reuters.com/business/energy/australia-pm-singapore-he-seeks-secure-fuel-supplies-regional-allies-2026-04-10/</t>
  </si>
  <si>
    <t>停戦の不安定化で海運とエネルギー供給の趨勢が懸念</t>
    <rPh sb="19" eb="21">
      <t>スウセイ</t>
    </rPh>
    <rPh sb="22" eb="24">
      <t>ケネン</t>
    </rPh>
    <phoneticPr fontId="18"/>
  </si>
  <si>
    <t>https://www.reuters.com/world/middle-east/halt-iran-attacks-means-netanyahus-corruption-trial-will-resume-sunday-2026-04-09/</t>
  </si>
  <si>
    <t>地域緊張の長期化で海運・エネルギー供給への波及が危惧</t>
    <rPh sb="21" eb="23">
      <t>ハキュウ</t>
    </rPh>
    <rPh sb="24" eb="26">
      <t>キグ</t>
    </rPh>
    <phoneticPr fontId="18"/>
  </si>
  <si>
    <t>https://www.reuters.com/world/middle-east/israel-approves-dozens-new-settlements-west-bank-watchdog-says-2026-04-09/</t>
  </si>
  <si>
    <t>イギリスがロシア潜水艦に対し接近禁止を警告</t>
    <rPh sb="8" eb="11">
      <t>センスイカン</t>
    </rPh>
    <rPh sb="12" eb="13">
      <t>タイ</t>
    </rPh>
    <rPh sb="14" eb="18">
      <t>セッキンキンシ</t>
    </rPh>
    <rPh sb="19" eb="21">
      <t>ケイコク</t>
    </rPh>
    <phoneticPr fontId="1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</si>
</sst>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0"/>
      <color theme="1"/>
      <name val="Arial Unicode MS"/>
      <family val="2"/>
    </font>
    <font>
      <u/>
      <sz val="11"/>
      <color theme="10"/>
      <name val="游ゴシック"/>
      <family val="2"/>
      <charset val="128"/>
      <scheme val="minor"/>
    </font>
    <font>
      <sz val="9"/>
      <color theme="1"/>
      <name val="游ゴシック"/>
      <family val="3"/>
      <charset val="128"/>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20" fillId="0" borderId="0" applyNumberFormat="0" applyFill="0" applyBorder="0" applyAlignment="0" applyProtection="0">
      <alignment vertical="center"/>
    </xf>
  </cellStyleXfs>
  <cellXfs count="8">
    <xf numFmtId="0" fontId="0" fillId="0" borderId="0" xfId="0">
      <alignment vertical="center"/>
    </xf>
    <xf numFmtId="14" fontId="0" fillId="0" borderId="0" xfId="0" applyNumberFormat="1">
      <alignment vertical="center"/>
    </xf>
    <xf numFmtId="0" fontId="0" fillId="33" borderId="0" xfId="0" applyFill="1">
      <alignment vertical="center"/>
    </xf>
    <xf numFmtId="0" fontId="19" fillId="33" borderId="0" xfId="0" applyFont="1" applyFill="1">
      <alignment vertical="center"/>
    </xf>
    <xf numFmtId="0" fontId="21" fillId="0" borderId="0" xfId="0" applyFont="1" applyProtection="1">
      <alignment vertical="center"/>
      <protection locked="0"/>
    </xf>
    <xf numFmtId="0" fontId="20" fillId="0" borderId="0" xfId="42">
      <alignment vertical="center"/>
    </xf>
    <xf numFmtId="0" fontId="0" fillId="34" borderId="0" xfId="0" applyFill="1">
      <alignment vertical="center"/>
    </xf>
    <xf numFmtId="0" fontId="0" fillId="0" borderId="0" xfId="0" applyFill="1">
      <alignment vertical="center"/>
    </xf>
  </cellXfs>
  <cellStyles count="43">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ハイパーリンク" xfId="42" builtinId="8"/>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1">
    <dxf>
      <fill>
        <patternFill patternType="solid">
          <fgColor rgb="FFC0E6F5"/>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world_map_project\world-map-news-app\public\data\ISO&#36766;&#26360;.xlsx" TargetMode="External"/><Relationship Id="rId1" Type="http://schemas.openxmlformats.org/officeDocument/2006/relationships/externalLinkPath" Target="ISO&#3676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SO辞書"/>
    </sheetNames>
    <sheetDataSet>
      <sheetData sheetId="0">
        <row r="1">
          <cell r="A1" t="str">
            <v>A列</v>
          </cell>
          <cell r="B1" t="str">
            <v>B列</v>
          </cell>
          <cell r="C1" t="str">
            <v>C列</v>
          </cell>
        </row>
        <row r="2">
          <cell r="A2" t="str">
            <v>国名_日本語</v>
          </cell>
          <cell r="B2" t="str">
            <v>ISO3</v>
          </cell>
          <cell r="C2" t="str">
            <v>国名_英語</v>
          </cell>
        </row>
        <row r="3">
          <cell r="A3" t="str">
            <v>アフガニスタン</v>
          </cell>
          <cell r="B3" t="str">
            <v>AFG</v>
          </cell>
          <cell r="C3" t="str">
            <v>Afghanistan</v>
          </cell>
        </row>
        <row r="4">
          <cell r="A4" t="str">
            <v>オーランド諸島</v>
          </cell>
          <cell r="B4" t="str">
            <v>ALA</v>
          </cell>
          <cell r="C4" t="str">
            <v>Åland Islands</v>
          </cell>
        </row>
        <row r="5">
          <cell r="A5" t="str">
            <v>アルバニア</v>
          </cell>
          <cell r="B5" t="str">
            <v>ALB</v>
          </cell>
          <cell r="C5" t="str">
            <v>Albania</v>
          </cell>
        </row>
        <row r="6">
          <cell r="A6" t="str">
            <v>アルジェリア</v>
          </cell>
          <cell r="B6" t="str">
            <v>DZA</v>
          </cell>
          <cell r="C6" t="str">
            <v>Algeria</v>
          </cell>
        </row>
        <row r="7">
          <cell r="A7" t="str">
            <v>アメリカ領サモア</v>
          </cell>
          <cell r="B7" t="str">
            <v>ASM</v>
          </cell>
          <cell r="C7" t="str">
            <v>American Samoa</v>
          </cell>
        </row>
        <row r="8">
          <cell r="A8" t="str">
            <v>アンドラ</v>
          </cell>
          <cell r="B8" t="str">
            <v>AND</v>
          </cell>
          <cell r="C8" t="str">
            <v>Andorra</v>
          </cell>
        </row>
        <row r="9">
          <cell r="A9" t="str">
            <v>アンゴラ</v>
          </cell>
          <cell r="B9" t="str">
            <v>AGO</v>
          </cell>
          <cell r="C9" t="str">
            <v>Angola</v>
          </cell>
        </row>
        <row r="10">
          <cell r="A10" t="str">
            <v>アンギラ</v>
          </cell>
          <cell r="B10" t="str">
            <v>AIA</v>
          </cell>
          <cell r="C10" t="str">
            <v>Anguilla</v>
          </cell>
        </row>
        <row r="11">
          <cell r="A11" t="str">
            <v>南極</v>
          </cell>
          <cell r="B11" t="str">
            <v>ATA</v>
          </cell>
          <cell r="C11" t="str">
            <v>Antarctica</v>
          </cell>
        </row>
        <row r="12">
          <cell r="A12" t="str">
            <v>アンティグア・バーブーダ</v>
          </cell>
          <cell r="B12" t="str">
            <v>ATG</v>
          </cell>
          <cell r="C12" t="str">
            <v>Antigua and Barbuda</v>
          </cell>
        </row>
        <row r="13">
          <cell r="A13" t="str">
            <v>アルゼンチン</v>
          </cell>
          <cell r="B13" t="str">
            <v>ARG</v>
          </cell>
          <cell r="C13" t="str">
            <v>Argentina</v>
          </cell>
        </row>
        <row r="14">
          <cell r="A14" t="str">
            <v>アルメニア</v>
          </cell>
          <cell r="B14" t="str">
            <v>ARM</v>
          </cell>
          <cell r="C14" t="str">
            <v>Armenia</v>
          </cell>
        </row>
        <row r="15">
          <cell r="A15" t="str">
            <v>アルバ</v>
          </cell>
          <cell r="B15" t="str">
            <v>ABW</v>
          </cell>
          <cell r="C15" t="str">
            <v>Aruba</v>
          </cell>
        </row>
        <row r="16">
          <cell r="A16" t="str">
            <v>オーストラリア</v>
          </cell>
          <cell r="B16" t="str">
            <v>AUS</v>
          </cell>
          <cell r="C16" t="str">
            <v>Australia</v>
          </cell>
        </row>
        <row r="17">
          <cell r="A17" t="str">
            <v>オーストリア</v>
          </cell>
          <cell r="B17" t="str">
            <v>AUT</v>
          </cell>
          <cell r="C17" t="str">
            <v>Austria</v>
          </cell>
        </row>
        <row r="18">
          <cell r="A18" t="str">
            <v>アゼルバイジャン</v>
          </cell>
          <cell r="B18" t="str">
            <v>AZE</v>
          </cell>
          <cell r="C18" t="str">
            <v>Azerbaijan</v>
          </cell>
        </row>
        <row r="19">
          <cell r="A19" t="str">
            <v>バハマ</v>
          </cell>
          <cell r="B19" t="str">
            <v>BHS</v>
          </cell>
          <cell r="C19" t="str">
            <v>Bahamas</v>
          </cell>
        </row>
        <row r="20">
          <cell r="A20" t="str">
            <v>バーレーン</v>
          </cell>
          <cell r="B20" t="str">
            <v>BHR</v>
          </cell>
          <cell r="C20" t="str">
            <v>Bahrain</v>
          </cell>
        </row>
        <row r="21">
          <cell r="A21" t="str">
            <v>バングラデシュ</v>
          </cell>
          <cell r="B21" t="str">
            <v>BGD</v>
          </cell>
          <cell r="C21" t="str">
            <v>Bangladesh</v>
          </cell>
        </row>
        <row r="22">
          <cell r="A22" t="str">
            <v>バルバドス</v>
          </cell>
          <cell r="B22" t="str">
            <v>BRB</v>
          </cell>
          <cell r="C22" t="str">
            <v>Barbados</v>
          </cell>
        </row>
        <row r="23">
          <cell r="A23" t="str">
            <v>ベラルーシ</v>
          </cell>
          <cell r="B23" t="str">
            <v>BLR</v>
          </cell>
          <cell r="C23" t="str">
            <v>Belarus</v>
          </cell>
        </row>
        <row r="24">
          <cell r="A24" t="str">
            <v>ベルギー</v>
          </cell>
          <cell r="B24" t="str">
            <v>BEL</v>
          </cell>
          <cell r="C24" t="str">
            <v>Belgium</v>
          </cell>
        </row>
        <row r="25">
          <cell r="A25" t="str">
            <v>ベリーズ</v>
          </cell>
          <cell r="B25" t="str">
            <v>BLZ</v>
          </cell>
          <cell r="C25" t="str">
            <v>Belize</v>
          </cell>
        </row>
        <row r="26">
          <cell r="A26" t="str">
            <v>ベナン</v>
          </cell>
          <cell r="B26" t="str">
            <v>BEN</v>
          </cell>
          <cell r="C26" t="str">
            <v>Benin</v>
          </cell>
        </row>
        <row r="27">
          <cell r="A27" t="str">
            <v>バミューダ</v>
          </cell>
          <cell r="B27" t="str">
            <v>BMU</v>
          </cell>
          <cell r="C27" t="str">
            <v>Bermuda</v>
          </cell>
        </row>
        <row r="28">
          <cell r="A28" t="str">
            <v>ブータン</v>
          </cell>
          <cell r="B28" t="str">
            <v>BTN</v>
          </cell>
          <cell r="C28" t="str">
            <v>Bhutan</v>
          </cell>
        </row>
        <row r="29">
          <cell r="A29" t="str">
            <v>ボリビア</v>
          </cell>
          <cell r="B29" t="str">
            <v>BOL</v>
          </cell>
          <cell r="C29" t="str">
            <v>Bolivia</v>
          </cell>
        </row>
        <row r="30">
          <cell r="A30" t="str">
            <v>ボスニア・ヘルツェゴビナ</v>
          </cell>
          <cell r="B30" t="str">
            <v>BIH</v>
          </cell>
          <cell r="C30" t="str">
            <v>Bosnia and Herzegovina</v>
          </cell>
        </row>
        <row r="31">
          <cell r="A31" t="str">
            <v>ボツワナ</v>
          </cell>
          <cell r="B31" t="str">
            <v>BWA</v>
          </cell>
          <cell r="C31" t="str">
            <v>Botswana</v>
          </cell>
        </row>
        <row r="32">
          <cell r="A32" t="str">
            <v>ブーベ島</v>
          </cell>
          <cell r="B32" t="str">
            <v>BVT</v>
          </cell>
          <cell r="C32" t="str">
            <v>Bouvet Island</v>
          </cell>
        </row>
        <row r="33">
          <cell r="A33" t="str">
            <v>ブラジル</v>
          </cell>
          <cell r="B33" t="str">
            <v>BRA</v>
          </cell>
          <cell r="C33" t="str">
            <v>Brazil</v>
          </cell>
        </row>
        <row r="34">
          <cell r="A34" t="str">
            <v>イギリス領インド洋地域</v>
          </cell>
          <cell r="B34" t="str">
            <v>IOT</v>
          </cell>
          <cell r="C34" t="str">
            <v>British Indian Ocean Territory</v>
          </cell>
        </row>
        <row r="35">
          <cell r="A35" t="str">
            <v>ブルネイ</v>
          </cell>
          <cell r="B35" t="str">
            <v>BRN</v>
          </cell>
          <cell r="C35" t="str">
            <v>Brunei Darussalam</v>
          </cell>
        </row>
        <row r="36">
          <cell r="A36" t="str">
            <v>ブルガリア</v>
          </cell>
          <cell r="B36" t="str">
            <v>BGR</v>
          </cell>
          <cell r="C36" t="str">
            <v>Bulgaria</v>
          </cell>
        </row>
        <row r="37">
          <cell r="A37" t="str">
            <v>ブルキナファソ</v>
          </cell>
          <cell r="B37" t="str">
            <v>BFA</v>
          </cell>
          <cell r="C37" t="str">
            <v>Burkina Faso</v>
          </cell>
        </row>
        <row r="38">
          <cell r="A38" t="str">
            <v>ブルンジ</v>
          </cell>
          <cell r="B38" t="str">
            <v>BDI</v>
          </cell>
          <cell r="C38" t="str">
            <v>Burundi</v>
          </cell>
        </row>
        <row r="39">
          <cell r="A39" t="str">
            <v>カーボベルデ</v>
          </cell>
          <cell r="B39" t="str">
            <v>CPV</v>
          </cell>
          <cell r="C39" t="str">
            <v>Cabo Verde</v>
          </cell>
        </row>
        <row r="40">
          <cell r="A40" t="str">
            <v>カンボジア</v>
          </cell>
          <cell r="B40" t="str">
            <v>KHM</v>
          </cell>
          <cell r="C40" t="str">
            <v>Cambodia</v>
          </cell>
        </row>
        <row r="41">
          <cell r="A41" t="str">
            <v>カメルーン</v>
          </cell>
          <cell r="B41" t="str">
            <v>CMR</v>
          </cell>
          <cell r="C41" t="str">
            <v>Cameroon</v>
          </cell>
        </row>
        <row r="42">
          <cell r="A42" t="str">
            <v>カナダ</v>
          </cell>
          <cell r="B42" t="str">
            <v>CAN</v>
          </cell>
          <cell r="C42" t="str">
            <v>Canada</v>
          </cell>
        </row>
        <row r="43">
          <cell r="A43" t="str">
            <v>ケイマン諸島</v>
          </cell>
          <cell r="B43" t="str">
            <v>CYM</v>
          </cell>
          <cell r="C43" t="str">
            <v>Cayman Islands</v>
          </cell>
        </row>
        <row r="44">
          <cell r="A44" t="str">
            <v>中央アフリカ共和国</v>
          </cell>
          <cell r="B44" t="str">
            <v>CAF</v>
          </cell>
          <cell r="C44" t="str">
            <v>Central African Republic</v>
          </cell>
        </row>
        <row r="45">
          <cell r="A45" t="str">
            <v>チャド</v>
          </cell>
          <cell r="B45" t="str">
            <v>TCD</v>
          </cell>
          <cell r="C45" t="str">
            <v>Chad</v>
          </cell>
        </row>
        <row r="46">
          <cell r="A46" t="str">
            <v>チリ</v>
          </cell>
          <cell r="B46" t="str">
            <v>CHL</v>
          </cell>
          <cell r="C46" t="str">
            <v>Chile</v>
          </cell>
        </row>
        <row r="47">
          <cell r="A47" t="str">
            <v>中国</v>
          </cell>
          <cell r="B47" t="str">
            <v>CHN</v>
          </cell>
          <cell r="C47" t="str">
            <v>China</v>
          </cell>
        </row>
        <row r="48">
          <cell r="A48" t="str">
            <v>クリスマス島</v>
          </cell>
          <cell r="B48" t="str">
            <v>CXR</v>
          </cell>
          <cell r="C48" t="str">
            <v>Christmas Island</v>
          </cell>
        </row>
        <row r="49">
          <cell r="A49" t="str">
            <v>ココス諸島</v>
          </cell>
          <cell r="B49" t="str">
            <v>CCK</v>
          </cell>
          <cell r="C49" t="str">
            <v>Cocos (Keeling) Islands</v>
          </cell>
        </row>
        <row r="50">
          <cell r="A50" t="str">
            <v>コロンビア</v>
          </cell>
          <cell r="B50" t="str">
            <v>COL</v>
          </cell>
          <cell r="C50" t="str">
            <v>Colombia</v>
          </cell>
        </row>
        <row r="51">
          <cell r="A51" t="str">
            <v>コモロ</v>
          </cell>
          <cell r="B51" t="str">
            <v>COM</v>
          </cell>
          <cell r="C51" t="str">
            <v>Comoros</v>
          </cell>
        </row>
        <row r="52">
          <cell r="A52" t="str">
            <v>コンゴ共和国</v>
          </cell>
          <cell r="B52" t="str">
            <v>COG</v>
          </cell>
          <cell r="C52" t="str">
            <v>Congo</v>
          </cell>
        </row>
        <row r="53">
          <cell r="A53" t="str">
            <v>コンゴ民主共和国</v>
          </cell>
          <cell r="B53" t="str">
            <v>COD</v>
          </cell>
          <cell r="C53" t="str">
            <v>Democratic Republic of the Congo</v>
          </cell>
        </row>
        <row r="54">
          <cell r="A54" t="str">
            <v>クック諸島</v>
          </cell>
          <cell r="B54" t="str">
            <v>COK</v>
          </cell>
          <cell r="C54" t="str">
            <v>Cook Islands</v>
          </cell>
        </row>
        <row r="55">
          <cell r="A55" t="str">
            <v>コスタリカ</v>
          </cell>
          <cell r="B55" t="str">
            <v>CRI</v>
          </cell>
          <cell r="C55" t="str">
            <v>Costa Rica</v>
          </cell>
        </row>
        <row r="56">
          <cell r="A56" t="str">
            <v>コートジボワール</v>
          </cell>
          <cell r="B56" t="str">
            <v>CIV</v>
          </cell>
          <cell r="C56" t="str">
            <v>Côte d'Ivoire</v>
          </cell>
        </row>
        <row r="57">
          <cell r="A57" t="str">
            <v>クロアチア</v>
          </cell>
          <cell r="B57" t="str">
            <v>HRV</v>
          </cell>
          <cell r="C57" t="str">
            <v>Croatia</v>
          </cell>
        </row>
        <row r="58">
          <cell r="A58" t="str">
            <v>キューバ</v>
          </cell>
          <cell r="B58" t="str">
            <v>CUB</v>
          </cell>
          <cell r="C58" t="str">
            <v>Cuba</v>
          </cell>
        </row>
        <row r="59">
          <cell r="A59" t="str">
            <v>キュラソー</v>
          </cell>
          <cell r="B59" t="str">
            <v>CUW</v>
          </cell>
          <cell r="C59" t="str">
            <v>Curaçao</v>
          </cell>
        </row>
        <row r="60">
          <cell r="A60" t="str">
            <v>キプロス</v>
          </cell>
          <cell r="B60" t="str">
            <v>CYP</v>
          </cell>
          <cell r="C60" t="str">
            <v>Cyprus</v>
          </cell>
        </row>
        <row r="61">
          <cell r="A61" t="str">
            <v>チェコ</v>
          </cell>
          <cell r="B61" t="str">
            <v>CZE</v>
          </cell>
          <cell r="C61" t="str">
            <v>Czechia</v>
          </cell>
        </row>
        <row r="62">
          <cell r="A62" t="str">
            <v>デンマーク</v>
          </cell>
          <cell r="B62" t="str">
            <v>DNK</v>
          </cell>
          <cell r="C62" t="str">
            <v>Denmark</v>
          </cell>
        </row>
        <row r="63">
          <cell r="A63" t="str">
            <v>ジブチ</v>
          </cell>
          <cell r="B63" t="str">
            <v>DJI</v>
          </cell>
          <cell r="C63" t="str">
            <v>Djibouti</v>
          </cell>
        </row>
        <row r="64">
          <cell r="A64" t="str">
            <v>ドミニカ</v>
          </cell>
          <cell r="B64" t="str">
            <v>DMA</v>
          </cell>
          <cell r="C64" t="str">
            <v>Dominica</v>
          </cell>
        </row>
        <row r="65">
          <cell r="A65" t="str">
            <v>ドミニカ共和国</v>
          </cell>
          <cell r="B65" t="str">
            <v>DOM</v>
          </cell>
          <cell r="C65" t="str">
            <v>Dominican Republic</v>
          </cell>
        </row>
        <row r="66">
          <cell r="A66" t="str">
            <v>エクアドル</v>
          </cell>
          <cell r="B66" t="str">
            <v>ECU</v>
          </cell>
          <cell r="C66" t="str">
            <v>Ecuador</v>
          </cell>
        </row>
        <row r="67">
          <cell r="A67" t="str">
            <v>エジプト</v>
          </cell>
          <cell r="B67" t="str">
            <v>EGY</v>
          </cell>
          <cell r="C67" t="str">
            <v>Egypt</v>
          </cell>
        </row>
        <row r="68">
          <cell r="A68" t="str">
            <v>エルサルバドル</v>
          </cell>
          <cell r="B68" t="str">
            <v>SLV</v>
          </cell>
          <cell r="C68" t="str">
            <v>El Salvador</v>
          </cell>
        </row>
        <row r="69">
          <cell r="A69" t="str">
            <v>赤道ギニア</v>
          </cell>
          <cell r="B69" t="str">
            <v>GNQ</v>
          </cell>
          <cell r="C69" t="str">
            <v>Equatorial Guinea</v>
          </cell>
        </row>
        <row r="70">
          <cell r="A70" t="str">
            <v>エリトリア</v>
          </cell>
          <cell r="B70" t="str">
            <v>ERI</v>
          </cell>
          <cell r="C70" t="str">
            <v>Eritrea</v>
          </cell>
        </row>
        <row r="71">
          <cell r="A71" t="str">
            <v>エストニア</v>
          </cell>
          <cell r="B71" t="str">
            <v>EST</v>
          </cell>
          <cell r="C71" t="str">
            <v>Estonia</v>
          </cell>
        </row>
        <row r="72">
          <cell r="A72" t="str">
            <v>エスワティニ</v>
          </cell>
          <cell r="B72" t="str">
            <v>SWZ</v>
          </cell>
          <cell r="C72" t="str">
            <v>Eswatini</v>
          </cell>
        </row>
        <row r="73">
          <cell r="A73" t="str">
            <v>エチオピア</v>
          </cell>
          <cell r="B73" t="str">
            <v>ETH</v>
          </cell>
          <cell r="C73" t="str">
            <v>Ethiopia</v>
          </cell>
        </row>
        <row r="74">
          <cell r="A74" t="str">
            <v>フォークランド諸島</v>
          </cell>
          <cell r="B74" t="str">
            <v>FLK</v>
          </cell>
          <cell r="C74" t="str">
            <v>Falkland Islands (Malvinas)</v>
          </cell>
        </row>
        <row r="75">
          <cell r="A75" t="str">
            <v>フェロー諸島</v>
          </cell>
          <cell r="B75" t="str">
            <v>FRO</v>
          </cell>
          <cell r="C75" t="str">
            <v>Faroe Islands</v>
          </cell>
        </row>
        <row r="76">
          <cell r="A76" t="str">
            <v>フィジー</v>
          </cell>
          <cell r="B76" t="str">
            <v>FJI</v>
          </cell>
          <cell r="C76" t="str">
            <v>Fiji</v>
          </cell>
        </row>
        <row r="77">
          <cell r="A77" t="str">
            <v>フィンランド</v>
          </cell>
          <cell r="B77" t="str">
            <v>FIN</v>
          </cell>
          <cell r="C77" t="str">
            <v>Finland</v>
          </cell>
        </row>
        <row r="78">
          <cell r="A78" t="str">
            <v>フランス</v>
          </cell>
          <cell r="B78" t="str">
            <v>FRA</v>
          </cell>
          <cell r="C78" t="str">
            <v>France</v>
          </cell>
        </row>
        <row r="79">
          <cell r="A79" t="str">
            <v>フランス領ギアナ</v>
          </cell>
          <cell r="B79" t="str">
            <v>GUF</v>
          </cell>
          <cell r="C79" t="str">
            <v>French Guiana</v>
          </cell>
        </row>
        <row r="80">
          <cell r="A80" t="str">
            <v>フランス領ポリネシア</v>
          </cell>
          <cell r="B80" t="str">
            <v>PYF</v>
          </cell>
          <cell r="C80" t="str">
            <v>French Polynesia</v>
          </cell>
        </row>
        <row r="81">
          <cell r="A81" t="str">
            <v>ガボン</v>
          </cell>
          <cell r="B81" t="str">
            <v>GAB</v>
          </cell>
          <cell r="C81" t="str">
            <v>Gabon</v>
          </cell>
        </row>
        <row r="82">
          <cell r="A82" t="str">
            <v>ガンビア</v>
          </cell>
          <cell r="B82" t="str">
            <v>GMB</v>
          </cell>
          <cell r="C82" t="str">
            <v>Gambia</v>
          </cell>
        </row>
        <row r="83">
          <cell r="A83" t="str">
            <v>ジョージア</v>
          </cell>
          <cell r="B83" t="str">
            <v>GEO</v>
          </cell>
          <cell r="C83" t="str">
            <v>Georgia</v>
          </cell>
        </row>
        <row r="84">
          <cell r="A84" t="str">
            <v>ドイツ</v>
          </cell>
          <cell r="B84" t="str">
            <v>DEU</v>
          </cell>
          <cell r="C84" t="str">
            <v>Germany</v>
          </cell>
        </row>
        <row r="85">
          <cell r="A85" t="str">
            <v>ガーナ</v>
          </cell>
          <cell r="B85" t="str">
            <v>GHA</v>
          </cell>
          <cell r="C85" t="str">
            <v>Ghana</v>
          </cell>
        </row>
        <row r="86">
          <cell r="A86" t="str">
            <v>ジブラルタル</v>
          </cell>
          <cell r="B86" t="str">
            <v>GIB</v>
          </cell>
          <cell r="C86" t="str">
            <v>Gibraltar</v>
          </cell>
        </row>
        <row r="87">
          <cell r="A87" t="str">
            <v>ギリシャ</v>
          </cell>
          <cell r="B87" t="str">
            <v>GRC</v>
          </cell>
          <cell r="C87" t="str">
            <v>Greece</v>
          </cell>
        </row>
        <row r="88">
          <cell r="A88" t="str">
            <v>グリーンランド</v>
          </cell>
          <cell r="B88" t="str">
            <v>GRL</v>
          </cell>
          <cell r="C88" t="str">
            <v>Greenland</v>
          </cell>
        </row>
        <row r="89">
          <cell r="A89" t="str">
            <v>グレナダ</v>
          </cell>
          <cell r="B89" t="str">
            <v>GRD</v>
          </cell>
          <cell r="C89" t="str">
            <v>Grenada</v>
          </cell>
        </row>
        <row r="90">
          <cell r="A90" t="str">
            <v>グアドループ</v>
          </cell>
          <cell r="B90" t="str">
            <v>GLP</v>
          </cell>
          <cell r="C90" t="str">
            <v>Guadeloupe</v>
          </cell>
        </row>
        <row r="91">
          <cell r="A91" t="str">
            <v>グアム</v>
          </cell>
          <cell r="B91" t="str">
            <v>GUM</v>
          </cell>
          <cell r="C91" t="str">
            <v>Guam</v>
          </cell>
        </row>
        <row r="92">
          <cell r="A92" t="str">
            <v>グアテマラ</v>
          </cell>
          <cell r="B92" t="str">
            <v>GTM</v>
          </cell>
          <cell r="C92" t="str">
            <v>Guatemala</v>
          </cell>
        </row>
        <row r="93">
          <cell r="A93" t="str">
            <v>ガーンジー</v>
          </cell>
          <cell r="B93" t="str">
            <v>GGY</v>
          </cell>
          <cell r="C93" t="str">
            <v>Guernsey</v>
          </cell>
        </row>
        <row r="94">
          <cell r="A94" t="str">
            <v>ギニア</v>
          </cell>
          <cell r="B94" t="str">
            <v>GIN</v>
          </cell>
          <cell r="C94" t="str">
            <v>Guinea</v>
          </cell>
        </row>
        <row r="95">
          <cell r="A95" t="str">
            <v>ギニアビサウ</v>
          </cell>
          <cell r="B95" t="str">
            <v>GNB</v>
          </cell>
          <cell r="C95" t="str">
            <v>Guinea-Bissau</v>
          </cell>
        </row>
        <row r="96">
          <cell r="A96" t="str">
            <v>ガイアナ</v>
          </cell>
          <cell r="B96" t="str">
            <v>GUY</v>
          </cell>
          <cell r="C96" t="str">
            <v>Guyana</v>
          </cell>
        </row>
        <row r="97">
          <cell r="A97" t="str">
            <v>ハイチ</v>
          </cell>
          <cell r="B97" t="str">
            <v>HTI</v>
          </cell>
          <cell r="C97" t="str">
            <v>Haiti</v>
          </cell>
        </row>
        <row r="98">
          <cell r="A98" t="str">
            <v>ハード島とマクドナルド諸島</v>
          </cell>
          <cell r="B98" t="str">
            <v>HMD</v>
          </cell>
          <cell r="C98" t="str">
            <v>Heard Island and McDonald Islands</v>
          </cell>
        </row>
        <row r="99">
          <cell r="A99" t="str">
            <v>バチカン</v>
          </cell>
          <cell r="B99" t="str">
            <v>HOLY</v>
          </cell>
          <cell r="C99" t="str">
            <v>Holy See</v>
          </cell>
        </row>
        <row r="100">
          <cell r="A100" t="str">
            <v>ホンジュラス</v>
          </cell>
          <cell r="B100" t="str">
            <v>HND</v>
          </cell>
          <cell r="C100" t="str">
            <v>Honduras</v>
          </cell>
        </row>
        <row r="101">
          <cell r="A101" t="str">
            <v>香港</v>
          </cell>
          <cell r="B101" t="str">
            <v>HKG</v>
          </cell>
          <cell r="C101" t="str">
            <v>Hong Kong</v>
          </cell>
        </row>
        <row r="102">
          <cell r="A102" t="str">
            <v>ハンガリー</v>
          </cell>
          <cell r="B102" t="str">
            <v>HUN</v>
          </cell>
          <cell r="C102" t="str">
            <v>Hungary</v>
          </cell>
        </row>
        <row r="103">
          <cell r="A103" t="str">
            <v>アイスランド</v>
          </cell>
          <cell r="B103" t="str">
            <v>ISL</v>
          </cell>
          <cell r="C103" t="str">
            <v>Iceland</v>
          </cell>
        </row>
        <row r="104">
          <cell r="A104" t="str">
            <v>インド</v>
          </cell>
          <cell r="B104" t="str">
            <v>IND</v>
          </cell>
          <cell r="C104" t="str">
            <v>India</v>
          </cell>
        </row>
        <row r="105">
          <cell r="A105" t="str">
            <v>インドネシア</v>
          </cell>
          <cell r="B105" t="str">
            <v>IDN</v>
          </cell>
          <cell r="C105" t="str">
            <v>Indonesia</v>
          </cell>
        </row>
        <row r="106">
          <cell r="A106" t="str">
            <v>イラン</v>
          </cell>
          <cell r="B106" t="str">
            <v>IRN</v>
          </cell>
          <cell r="C106" t="str">
            <v>Iran</v>
          </cell>
        </row>
        <row r="107">
          <cell r="A107" t="str">
            <v>イラク</v>
          </cell>
          <cell r="B107" t="str">
            <v>IRQ</v>
          </cell>
          <cell r="C107" t="str">
            <v>Iraq</v>
          </cell>
        </row>
        <row r="108">
          <cell r="A108" t="str">
            <v>アイルランド</v>
          </cell>
          <cell r="B108" t="str">
            <v>IRL</v>
          </cell>
          <cell r="C108" t="str">
            <v>Ireland</v>
          </cell>
        </row>
        <row r="109">
          <cell r="A109" t="str">
            <v>マン島</v>
          </cell>
          <cell r="B109" t="str">
            <v>IMN</v>
          </cell>
          <cell r="C109" t="str">
            <v>Isle of Man</v>
          </cell>
        </row>
        <row r="110">
          <cell r="A110" t="str">
            <v>イスラエル</v>
          </cell>
          <cell r="B110" t="str">
            <v>ISR</v>
          </cell>
          <cell r="C110" t="str">
            <v>Israel</v>
          </cell>
        </row>
        <row r="111">
          <cell r="A111" t="str">
            <v>イタリア</v>
          </cell>
          <cell r="B111" t="str">
            <v>ITA</v>
          </cell>
          <cell r="C111" t="str">
            <v>Italy</v>
          </cell>
        </row>
        <row r="112">
          <cell r="A112" t="str">
            <v>ジャマイカ</v>
          </cell>
          <cell r="B112" t="str">
            <v>JAM</v>
          </cell>
          <cell r="C112" t="str">
            <v>Jamaica</v>
          </cell>
        </row>
        <row r="113">
          <cell r="A113" t="str">
            <v>日本</v>
          </cell>
          <cell r="B113" t="str">
            <v>JPN</v>
          </cell>
          <cell r="C113" t="str">
            <v>Japan</v>
          </cell>
        </row>
        <row r="114">
          <cell r="A114" t="str">
            <v>ジャージー</v>
          </cell>
          <cell r="B114" t="str">
            <v>JEY</v>
          </cell>
          <cell r="C114" t="str">
            <v>Jersey</v>
          </cell>
        </row>
        <row r="115">
          <cell r="A115" t="str">
            <v>ヨルダン</v>
          </cell>
          <cell r="B115" t="str">
            <v>JOR</v>
          </cell>
          <cell r="C115" t="str">
            <v>Jordan</v>
          </cell>
        </row>
        <row r="116">
          <cell r="A116" t="str">
            <v>カザフスタン</v>
          </cell>
          <cell r="B116" t="str">
            <v>KAZ</v>
          </cell>
          <cell r="C116" t="str">
            <v>Kazakhstan</v>
          </cell>
        </row>
        <row r="117">
          <cell r="A117" t="str">
            <v>ケニア</v>
          </cell>
          <cell r="B117" t="str">
            <v>KEN</v>
          </cell>
          <cell r="C117" t="str">
            <v>Kenya</v>
          </cell>
        </row>
        <row r="118">
          <cell r="A118" t="str">
            <v>キリバス</v>
          </cell>
          <cell r="B118" t="str">
            <v>KIR</v>
          </cell>
          <cell r="C118" t="str">
            <v>Kiribati</v>
          </cell>
        </row>
        <row r="119">
          <cell r="A119" t="str">
            <v>北朝鮮</v>
          </cell>
          <cell r="B119" t="str">
            <v>PRK</v>
          </cell>
          <cell r="C119" t="str">
            <v>North Korea</v>
          </cell>
        </row>
        <row r="120">
          <cell r="A120" t="str">
            <v>韓国</v>
          </cell>
          <cell r="B120" t="str">
            <v>KOR</v>
          </cell>
          <cell r="C120" t="str">
            <v>Korea</v>
          </cell>
        </row>
        <row r="121">
          <cell r="A121" t="str">
            <v>クウェート</v>
          </cell>
          <cell r="B121" t="str">
            <v>KWT</v>
          </cell>
          <cell r="C121" t="str">
            <v>Kuwait</v>
          </cell>
        </row>
        <row r="122">
          <cell r="A122" t="str">
            <v>キルギス</v>
          </cell>
          <cell r="B122" t="str">
            <v>KGZ</v>
          </cell>
          <cell r="C122" t="str">
            <v>Kyrgyzstan</v>
          </cell>
        </row>
        <row r="123">
          <cell r="A123" t="str">
            <v>ラオス</v>
          </cell>
          <cell r="B123" t="str">
            <v>LAO</v>
          </cell>
          <cell r="C123" t="str">
            <v>Lao People's Democratic Republic</v>
          </cell>
        </row>
        <row r="124">
          <cell r="A124" t="str">
            <v>ラトビア</v>
          </cell>
          <cell r="B124" t="str">
            <v>LVA</v>
          </cell>
          <cell r="C124" t="str">
            <v>Latvia</v>
          </cell>
        </row>
        <row r="125">
          <cell r="A125" t="str">
            <v>レバノン</v>
          </cell>
          <cell r="B125" t="str">
            <v>LBN</v>
          </cell>
          <cell r="C125" t="str">
            <v>Lebanon</v>
          </cell>
        </row>
        <row r="126">
          <cell r="A126" t="str">
            <v>レソト</v>
          </cell>
          <cell r="B126" t="str">
            <v>LSO</v>
          </cell>
          <cell r="C126" t="str">
            <v>Lesotho</v>
          </cell>
        </row>
        <row r="127">
          <cell r="A127" t="str">
            <v>リベリア</v>
          </cell>
          <cell r="B127" t="str">
            <v>LBR</v>
          </cell>
          <cell r="C127" t="str">
            <v>Liberia</v>
          </cell>
        </row>
        <row r="128">
          <cell r="A128" t="str">
            <v>リビア</v>
          </cell>
          <cell r="B128" t="str">
            <v>LBY</v>
          </cell>
          <cell r="C128" t="str">
            <v>Libya</v>
          </cell>
        </row>
        <row r="129">
          <cell r="A129" t="str">
            <v>リヒテンシュタイン</v>
          </cell>
          <cell r="B129" t="str">
            <v>LIE</v>
          </cell>
          <cell r="C129" t="str">
            <v>Liechtenstein</v>
          </cell>
        </row>
        <row r="130">
          <cell r="A130" t="str">
            <v>リトアニア</v>
          </cell>
          <cell r="B130" t="str">
            <v>LTU</v>
          </cell>
          <cell r="C130" t="str">
            <v>Lithuania</v>
          </cell>
        </row>
        <row r="131">
          <cell r="A131" t="str">
            <v>ルクセンブルク</v>
          </cell>
          <cell r="B131" t="str">
            <v>LUX</v>
          </cell>
          <cell r="C131" t="str">
            <v>Luxembourg</v>
          </cell>
        </row>
        <row r="132">
          <cell r="A132" t="str">
            <v>マカオ</v>
          </cell>
          <cell r="B132" t="str">
            <v>MAC</v>
          </cell>
          <cell r="C132" t="str">
            <v>Macao</v>
          </cell>
        </row>
        <row r="133">
          <cell r="A133" t="str">
            <v>マダガスカル</v>
          </cell>
          <cell r="B133" t="str">
            <v>MDG</v>
          </cell>
          <cell r="C133" t="str">
            <v>Madagascar</v>
          </cell>
        </row>
        <row r="134">
          <cell r="A134" t="str">
            <v>マラウイ</v>
          </cell>
          <cell r="B134" t="str">
            <v>MWI</v>
          </cell>
          <cell r="C134" t="str">
            <v>Malawi</v>
          </cell>
        </row>
        <row r="135">
          <cell r="A135" t="str">
            <v>マレーシア</v>
          </cell>
          <cell r="B135" t="str">
            <v>MYS</v>
          </cell>
          <cell r="C135" t="str">
            <v>Malaysia</v>
          </cell>
        </row>
        <row r="136">
          <cell r="A136" t="str">
            <v>モルディブ</v>
          </cell>
          <cell r="B136" t="str">
            <v>MDV</v>
          </cell>
          <cell r="C136" t="str">
            <v>Maldives</v>
          </cell>
        </row>
        <row r="137">
          <cell r="A137" t="str">
            <v>マリ</v>
          </cell>
          <cell r="B137" t="str">
            <v>MLI</v>
          </cell>
          <cell r="C137" t="str">
            <v>Mali</v>
          </cell>
        </row>
        <row r="138">
          <cell r="A138" t="str">
            <v>マルタ</v>
          </cell>
          <cell r="B138" t="str">
            <v>MLT</v>
          </cell>
          <cell r="C138" t="str">
            <v>Malta</v>
          </cell>
        </row>
        <row r="139">
          <cell r="A139" t="str">
            <v>マーシャル諸島</v>
          </cell>
          <cell r="B139" t="str">
            <v>MHL</v>
          </cell>
          <cell r="C139" t="str">
            <v>Marshall Islands</v>
          </cell>
        </row>
        <row r="140">
          <cell r="A140" t="str">
            <v>マルティニーク</v>
          </cell>
          <cell r="B140" t="str">
            <v>MTQ</v>
          </cell>
          <cell r="C140" t="str">
            <v>Martinique</v>
          </cell>
        </row>
        <row r="141">
          <cell r="A141" t="str">
            <v>モーリタニア</v>
          </cell>
          <cell r="B141" t="str">
            <v>MRT</v>
          </cell>
          <cell r="C141" t="str">
            <v>Mauritania</v>
          </cell>
        </row>
        <row r="142">
          <cell r="A142" t="str">
            <v>モーリシャス</v>
          </cell>
          <cell r="B142" t="str">
            <v>MUS</v>
          </cell>
          <cell r="C142" t="str">
            <v>Mauritius</v>
          </cell>
        </row>
        <row r="143">
          <cell r="A143" t="str">
            <v>マヨット</v>
          </cell>
          <cell r="B143" t="str">
            <v>MYT</v>
          </cell>
          <cell r="C143" t="str">
            <v>Mayotte</v>
          </cell>
        </row>
        <row r="144">
          <cell r="A144" t="str">
            <v>メキシコ</v>
          </cell>
          <cell r="B144" t="str">
            <v>MEX</v>
          </cell>
          <cell r="C144" t="str">
            <v>Mexico</v>
          </cell>
        </row>
        <row r="145">
          <cell r="A145" t="str">
            <v>ミクロネシア連邦</v>
          </cell>
          <cell r="B145" t="str">
            <v>FSM</v>
          </cell>
          <cell r="C145" t="str">
            <v>Micronesia</v>
          </cell>
        </row>
        <row r="146">
          <cell r="A146" t="str">
            <v>モルドバ</v>
          </cell>
          <cell r="B146" t="str">
            <v>MDA</v>
          </cell>
          <cell r="C146" t="str">
            <v>Moldova</v>
          </cell>
        </row>
        <row r="147">
          <cell r="A147" t="str">
            <v>モナコ</v>
          </cell>
          <cell r="B147" t="str">
            <v>MCO</v>
          </cell>
          <cell r="C147" t="str">
            <v>Monaco</v>
          </cell>
        </row>
        <row r="148">
          <cell r="A148" t="str">
            <v>モンゴル</v>
          </cell>
          <cell r="B148" t="str">
            <v>MNG</v>
          </cell>
          <cell r="C148" t="str">
            <v>Mongolia</v>
          </cell>
        </row>
        <row r="149">
          <cell r="A149" t="str">
            <v>モンテネグロ</v>
          </cell>
          <cell r="B149" t="str">
            <v>MNE</v>
          </cell>
          <cell r="C149" t="str">
            <v>Montenegro</v>
          </cell>
        </row>
        <row r="150">
          <cell r="A150" t="str">
            <v>モントセラト</v>
          </cell>
          <cell r="B150" t="str">
            <v>MSR</v>
          </cell>
          <cell r="C150" t="str">
            <v>Montserrat</v>
          </cell>
        </row>
        <row r="151">
          <cell r="A151" t="str">
            <v>モロッコ</v>
          </cell>
          <cell r="B151" t="str">
            <v>MAR</v>
          </cell>
          <cell r="C151" t="str">
            <v>Morocco</v>
          </cell>
        </row>
        <row r="152">
          <cell r="A152" t="str">
            <v>モザンビーク</v>
          </cell>
          <cell r="B152" t="str">
            <v>MOZ</v>
          </cell>
          <cell r="C152" t="str">
            <v>Mozambique</v>
          </cell>
        </row>
        <row r="153">
          <cell r="A153" t="str">
            <v>ミャンマー</v>
          </cell>
          <cell r="B153" t="str">
            <v>MMR</v>
          </cell>
          <cell r="C153" t="str">
            <v>Myanmar</v>
          </cell>
        </row>
        <row r="154">
          <cell r="A154" t="str">
            <v>ナミビア</v>
          </cell>
          <cell r="B154" t="str">
            <v>NAM</v>
          </cell>
          <cell r="C154" t="str">
            <v>Namibia</v>
          </cell>
        </row>
        <row r="155">
          <cell r="A155" t="str">
            <v>ナウル</v>
          </cell>
          <cell r="B155" t="str">
            <v>NRU</v>
          </cell>
          <cell r="C155" t="str">
            <v>Nauru</v>
          </cell>
        </row>
        <row r="156">
          <cell r="A156" t="str">
            <v>ネパール</v>
          </cell>
          <cell r="B156" t="str">
            <v>NPL</v>
          </cell>
          <cell r="C156" t="str">
            <v>Nepal</v>
          </cell>
        </row>
        <row r="157">
          <cell r="A157" t="str">
            <v>オランダ</v>
          </cell>
          <cell r="B157" t="str">
            <v>NLD</v>
          </cell>
          <cell r="C157" t="str">
            <v>Netherlands</v>
          </cell>
        </row>
        <row r="158">
          <cell r="A158" t="str">
            <v>ニューカレドニア</v>
          </cell>
          <cell r="B158" t="str">
            <v>NCL</v>
          </cell>
          <cell r="C158" t="str">
            <v>New Caledonia</v>
          </cell>
        </row>
        <row r="159">
          <cell r="A159" t="str">
            <v>ニュージーランド</v>
          </cell>
          <cell r="B159" t="str">
            <v>NZL</v>
          </cell>
          <cell r="C159" t="str">
            <v>New Zealand</v>
          </cell>
        </row>
        <row r="160">
          <cell r="A160" t="str">
            <v>ニカラグア</v>
          </cell>
          <cell r="B160" t="str">
            <v>NIC</v>
          </cell>
          <cell r="C160" t="str">
            <v>Nicaragua</v>
          </cell>
        </row>
        <row r="161">
          <cell r="A161" t="str">
            <v>ニジェール</v>
          </cell>
          <cell r="B161" t="str">
            <v>NER</v>
          </cell>
          <cell r="C161" t="str">
            <v>Niger</v>
          </cell>
        </row>
        <row r="162">
          <cell r="A162" t="str">
            <v>ナイジェリア</v>
          </cell>
          <cell r="B162" t="str">
            <v>NGA</v>
          </cell>
          <cell r="C162" t="str">
            <v>Nigeria</v>
          </cell>
        </row>
        <row r="163">
          <cell r="A163" t="str">
            <v>ニウエ</v>
          </cell>
          <cell r="B163" t="str">
            <v>NIU</v>
          </cell>
          <cell r="C163" t="str">
            <v>Niue</v>
          </cell>
        </row>
        <row r="164">
          <cell r="A164" t="str">
            <v>ノーフォーク島</v>
          </cell>
          <cell r="B164" t="str">
            <v>NFK</v>
          </cell>
          <cell r="C164" t="str">
            <v>Norfolk Island</v>
          </cell>
        </row>
        <row r="165">
          <cell r="A165" t="str">
            <v>北マケドニア</v>
          </cell>
          <cell r="B165" t="str">
            <v>MKD</v>
          </cell>
          <cell r="C165" t="str">
            <v>North Macedonia</v>
          </cell>
        </row>
        <row r="166">
          <cell r="A166" t="str">
            <v>北マリアナ諸島</v>
          </cell>
          <cell r="B166" t="str">
            <v>MNP</v>
          </cell>
          <cell r="C166" t="str">
            <v>Northern Mariana Islands</v>
          </cell>
        </row>
        <row r="167">
          <cell r="A167" t="str">
            <v>ノルウェー</v>
          </cell>
          <cell r="B167" t="str">
            <v>NOR</v>
          </cell>
          <cell r="C167" t="str">
            <v>Norway</v>
          </cell>
        </row>
        <row r="168">
          <cell r="A168" t="str">
            <v>オマーン</v>
          </cell>
          <cell r="B168" t="str">
            <v>OMN</v>
          </cell>
          <cell r="C168" t="str">
            <v>Oman</v>
          </cell>
        </row>
        <row r="169">
          <cell r="A169" t="str">
            <v>パキスタン</v>
          </cell>
          <cell r="B169" t="str">
            <v>PAK</v>
          </cell>
          <cell r="C169" t="str">
            <v>Pakistan</v>
          </cell>
        </row>
        <row r="170">
          <cell r="A170" t="str">
            <v>パラオ</v>
          </cell>
          <cell r="B170" t="str">
            <v>PLW</v>
          </cell>
          <cell r="C170" t="str">
            <v>Palau</v>
          </cell>
        </row>
        <row r="171">
          <cell r="A171" t="str">
            <v>パレスチナ</v>
          </cell>
          <cell r="B171" t="str">
            <v>PSE</v>
          </cell>
          <cell r="C171" t="str">
            <v>Palestine</v>
          </cell>
        </row>
        <row r="172">
          <cell r="A172" t="str">
            <v>パナマ</v>
          </cell>
          <cell r="B172" t="str">
            <v>PAN</v>
          </cell>
          <cell r="C172" t="str">
            <v>Panama</v>
          </cell>
        </row>
        <row r="173">
          <cell r="A173" t="str">
            <v>パプアニューギニア</v>
          </cell>
          <cell r="B173" t="str">
            <v>PNG</v>
          </cell>
          <cell r="C173" t="str">
            <v>Papua New Guinea</v>
          </cell>
        </row>
        <row r="174">
          <cell r="A174" t="str">
            <v>パラグアイ</v>
          </cell>
          <cell r="B174" t="str">
            <v>PRY</v>
          </cell>
          <cell r="C174" t="str">
            <v>Paraguay</v>
          </cell>
        </row>
        <row r="175">
          <cell r="A175" t="str">
            <v>ペルー</v>
          </cell>
          <cell r="B175" t="str">
            <v>PER</v>
          </cell>
          <cell r="C175" t="str">
            <v>Peru</v>
          </cell>
        </row>
        <row r="176">
          <cell r="A176" t="str">
            <v>フィリピン</v>
          </cell>
          <cell r="B176" t="str">
            <v>PHL</v>
          </cell>
          <cell r="C176" t="str">
            <v>Philippines</v>
          </cell>
        </row>
        <row r="177">
          <cell r="A177" t="str">
            <v>ピトケアン諸島</v>
          </cell>
          <cell r="B177" t="str">
            <v>PCN</v>
          </cell>
          <cell r="C177" t="str">
            <v>Pitcairn</v>
          </cell>
        </row>
        <row r="178">
          <cell r="A178" t="str">
            <v>ポーランド</v>
          </cell>
          <cell r="B178" t="str">
            <v>POL</v>
          </cell>
          <cell r="C178" t="str">
            <v>Poland</v>
          </cell>
        </row>
        <row r="179">
          <cell r="A179" t="str">
            <v>ポルトガル</v>
          </cell>
          <cell r="B179" t="str">
            <v>PRT</v>
          </cell>
          <cell r="C179" t="str">
            <v>Portugal</v>
          </cell>
        </row>
        <row r="180">
          <cell r="A180" t="str">
            <v>プエルトリコ</v>
          </cell>
          <cell r="B180" t="str">
            <v>PRI</v>
          </cell>
          <cell r="C180" t="str">
            <v>Puerto Rico</v>
          </cell>
        </row>
        <row r="181">
          <cell r="A181" t="str">
            <v>カタール</v>
          </cell>
          <cell r="B181" t="str">
            <v>QAT</v>
          </cell>
          <cell r="C181" t="str">
            <v>Qatar</v>
          </cell>
        </row>
        <row r="182">
          <cell r="A182" t="str">
            <v>レユニオン</v>
          </cell>
          <cell r="B182" t="str">
            <v>REU</v>
          </cell>
          <cell r="C182" t="str">
            <v>Réunion</v>
          </cell>
        </row>
        <row r="183">
          <cell r="A183" t="str">
            <v>ルーマニア</v>
          </cell>
          <cell r="B183" t="str">
            <v>ROU</v>
          </cell>
          <cell r="C183" t="str">
            <v>Romania</v>
          </cell>
        </row>
        <row r="184">
          <cell r="A184" t="str">
            <v>ロシア</v>
          </cell>
          <cell r="B184" t="str">
            <v>RUS</v>
          </cell>
          <cell r="C184" t="str">
            <v>Russian Federation</v>
          </cell>
        </row>
        <row r="185">
          <cell r="A185" t="str">
            <v>ルワンダ</v>
          </cell>
          <cell r="B185" t="str">
            <v>RWA</v>
          </cell>
          <cell r="C185" t="str">
            <v>Rwanda</v>
          </cell>
        </row>
        <row r="186">
          <cell r="A186" t="str">
            <v>サン・バルテルミー</v>
          </cell>
          <cell r="B186" t="str">
            <v>BLM</v>
          </cell>
          <cell r="C186" t="str">
            <v>Saint Barthélemy</v>
          </cell>
        </row>
        <row r="187">
          <cell r="A187" t="str">
            <v>セントヘレナ・アセンションおよびトリスタンダクーニャ</v>
          </cell>
          <cell r="B187" t="str">
            <v>SHN</v>
          </cell>
          <cell r="C187" t="str">
            <v>Saint Helena</v>
          </cell>
        </row>
        <row r="188">
          <cell r="A188" t="str">
            <v>セントクリストファー・ネーヴィス</v>
          </cell>
          <cell r="B188" t="str">
            <v>KNA</v>
          </cell>
          <cell r="C188" t="str">
            <v>Saint Kitts and Nevis</v>
          </cell>
        </row>
        <row r="189">
          <cell r="A189" t="str">
            <v>セントルシア</v>
          </cell>
          <cell r="B189" t="str">
            <v>LCA</v>
          </cell>
          <cell r="C189" t="str">
            <v>Saint Lucia</v>
          </cell>
        </row>
        <row r="190">
          <cell r="A190" t="str">
            <v>サン・マルタン（フランス領）</v>
          </cell>
          <cell r="B190" t="str">
            <v>MAF</v>
          </cell>
          <cell r="C190" t="str">
            <v>Saint Martin (French part)</v>
          </cell>
        </row>
        <row r="191">
          <cell r="A191" t="str">
            <v>サンピエール島・ミクロン島</v>
          </cell>
          <cell r="B191" t="str">
            <v>SPM</v>
          </cell>
          <cell r="C191" t="str">
            <v>Saint Pierre and Miquelon</v>
          </cell>
        </row>
        <row r="192">
          <cell r="A192" t="str">
            <v>セントビンセントおよびグレナディーン諸島</v>
          </cell>
          <cell r="B192" t="str">
            <v>VCT</v>
          </cell>
          <cell r="C192" t="str">
            <v>Saint Vincent and the Grenadines</v>
          </cell>
        </row>
        <row r="193">
          <cell r="A193" t="str">
            <v>サモア</v>
          </cell>
          <cell r="B193" t="str">
            <v>WSM</v>
          </cell>
          <cell r="C193" t="str">
            <v>Samoa</v>
          </cell>
        </row>
        <row r="194">
          <cell r="A194" t="str">
            <v>サンマリノ</v>
          </cell>
          <cell r="B194" t="str">
            <v>SMR</v>
          </cell>
          <cell r="C194" t="str">
            <v>San Marino</v>
          </cell>
        </row>
        <row r="195">
          <cell r="A195" t="str">
            <v>サントメ・プリンシペ</v>
          </cell>
          <cell r="B195" t="str">
            <v>STP</v>
          </cell>
          <cell r="C195" t="str">
            <v>Sao Tome and Principe</v>
          </cell>
        </row>
        <row r="196">
          <cell r="A196" t="str">
            <v>サウジアラビア</v>
          </cell>
          <cell r="B196" t="str">
            <v>SAU</v>
          </cell>
          <cell r="C196" t="str">
            <v>Saudi Arabia</v>
          </cell>
        </row>
        <row r="197">
          <cell r="A197" t="str">
            <v>セネガル</v>
          </cell>
          <cell r="B197" t="str">
            <v>SEN</v>
          </cell>
          <cell r="C197" t="str">
            <v>Senegal</v>
          </cell>
        </row>
        <row r="198">
          <cell r="A198" t="str">
            <v>セルビア</v>
          </cell>
          <cell r="B198" t="str">
            <v>SRB</v>
          </cell>
          <cell r="C198" t="str">
            <v>Serbia</v>
          </cell>
        </row>
        <row r="199">
          <cell r="A199" t="str">
            <v>セーシェル</v>
          </cell>
          <cell r="B199" t="str">
            <v>SYC</v>
          </cell>
          <cell r="C199" t="str">
            <v>Seychelles</v>
          </cell>
        </row>
        <row r="200">
          <cell r="A200" t="str">
            <v>シエラレオネ</v>
          </cell>
          <cell r="B200" t="str">
            <v>SLE</v>
          </cell>
          <cell r="C200" t="str">
            <v>Sierra Leone</v>
          </cell>
        </row>
        <row r="201">
          <cell r="A201" t="str">
            <v>シンガポール</v>
          </cell>
          <cell r="B201" t="str">
            <v>SGP</v>
          </cell>
          <cell r="C201" t="str">
            <v>Singapore</v>
          </cell>
        </row>
        <row r="202">
          <cell r="A202" t="str">
            <v>シント・マールテン</v>
          </cell>
          <cell r="B202" t="str">
            <v>SXM</v>
          </cell>
          <cell r="C202" t="str">
            <v>Sint Maarten (Dutch part)</v>
          </cell>
        </row>
        <row r="203">
          <cell r="A203" t="str">
            <v>スロバキア</v>
          </cell>
          <cell r="B203" t="str">
            <v>SVK</v>
          </cell>
          <cell r="C203" t="str">
            <v>Slovakia</v>
          </cell>
        </row>
        <row r="204">
          <cell r="A204" t="str">
            <v>スロベニア</v>
          </cell>
          <cell r="B204" t="str">
            <v>SVN</v>
          </cell>
          <cell r="C204" t="str">
            <v>Slovenia</v>
          </cell>
        </row>
        <row r="205">
          <cell r="A205" t="str">
            <v>ソロモン諸島</v>
          </cell>
          <cell r="B205" t="str">
            <v>SLB</v>
          </cell>
          <cell r="C205" t="str">
            <v>Solomon Islands</v>
          </cell>
        </row>
        <row r="206">
          <cell r="A206" t="str">
            <v>ソマリア</v>
          </cell>
          <cell r="B206" t="str">
            <v>SOM</v>
          </cell>
          <cell r="C206" t="str">
            <v>Somalia</v>
          </cell>
        </row>
        <row r="207">
          <cell r="A207" t="str">
            <v>南アフリカ</v>
          </cell>
          <cell r="B207" t="str">
            <v>ZAF</v>
          </cell>
          <cell r="C207" t="str">
            <v>South Africa</v>
          </cell>
        </row>
        <row r="208">
          <cell r="A208" t="str">
            <v>サウスジョージア・サウスサンドウィッチ諸島</v>
          </cell>
          <cell r="B208" t="str">
            <v>SGS</v>
          </cell>
          <cell r="C208" t="str">
            <v>South Georgia and the South Sandwich Islands</v>
          </cell>
        </row>
        <row r="209">
          <cell r="A209" t="str">
            <v>南スーダン</v>
          </cell>
          <cell r="B209" t="str">
            <v>SSD</v>
          </cell>
          <cell r="C209" t="str">
            <v>South Sudan</v>
          </cell>
        </row>
        <row r="210">
          <cell r="A210" t="str">
            <v>スペイン</v>
          </cell>
          <cell r="B210" t="str">
            <v>ESP</v>
          </cell>
          <cell r="C210" t="str">
            <v>Spain</v>
          </cell>
        </row>
        <row r="211">
          <cell r="A211" t="str">
            <v>スリランカ</v>
          </cell>
          <cell r="B211" t="str">
            <v>LKA</v>
          </cell>
          <cell r="C211" t="str">
            <v>Sri Lanka</v>
          </cell>
        </row>
        <row r="212">
          <cell r="A212" t="str">
            <v>スーダン</v>
          </cell>
          <cell r="B212" t="str">
            <v>SDN</v>
          </cell>
          <cell r="C212" t="str">
            <v>Sudan</v>
          </cell>
        </row>
        <row r="213">
          <cell r="A213" t="str">
            <v>スリナム</v>
          </cell>
          <cell r="B213" t="str">
            <v>SUR</v>
          </cell>
          <cell r="C213" t="str">
            <v>Suriname</v>
          </cell>
        </row>
        <row r="214">
          <cell r="A214" t="str">
            <v>スヴァールバル諸島およびヤンマイエン島</v>
          </cell>
          <cell r="B214" t="str">
            <v>SJM</v>
          </cell>
          <cell r="C214" t="str">
            <v>Svalbard and Jan Mayen</v>
          </cell>
        </row>
        <row r="215">
          <cell r="A215" t="str">
            <v>スウェーデン</v>
          </cell>
          <cell r="B215" t="str">
            <v>SWE</v>
          </cell>
          <cell r="C215" t="str">
            <v>Sweden</v>
          </cell>
        </row>
        <row r="216">
          <cell r="A216" t="str">
            <v>スイス</v>
          </cell>
          <cell r="B216" t="str">
            <v>CHE</v>
          </cell>
          <cell r="C216" t="str">
            <v>Switzerland</v>
          </cell>
        </row>
        <row r="217">
          <cell r="A217" t="str">
            <v>シリア</v>
          </cell>
          <cell r="B217" t="str">
            <v>SYR</v>
          </cell>
          <cell r="C217" t="str">
            <v>Syrian Arab Republic</v>
          </cell>
        </row>
        <row r="218">
          <cell r="A218" t="str">
            <v>台湾</v>
          </cell>
          <cell r="B218" t="str">
            <v>TWN</v>
          </cell>
          <cell r="C218" t="str">
            <v>Taiwan</v>
          </cell>
        </row>
        <row r="219">
          <cell r="A219" t="str">
            <v>タジキスタン</v>
          </cell>
          <cell r="B219" t="str">
            <v>TJK</v>
          </cell>
          <cell r="C219" t="str">
            <v>Tajikistan</v>
          </cell>
        </row>
        <row r="220">
          <cell r="A220" t="str">
            <v>タンザニア</v>
          </cell>
          <cell r="B220" t="str">
            <v>TZA</v>
          </cell>
          <cell r="C220" t="str">
            <v>Tanzania</v>
          </cell>
        </row>
        <row r="221">
          <cell r="A221" t="str">
            <v>タイ</v>
          </cell>
          <cell r="B221" t="str">
            <v>THA</v>
          </cell>
          <cell r="C221" t="str">
            <v>Thailand</v>
          </cell>
        </row>
        <row r="222">
          <cell r="A222" t="str">
            <v>東ティモール</v>
          </cell>
          <cell r="B222" t="str">
            <v>TLS</v>
          </cell>
          <cell r="C222" t="str">
            <v>Timor-Leste</v>
          </cell>
        </row>
        <row r="223">
          <cell r="A223" t="str">
            <v>トーゴ</v>
          </cell>
          <cell r="B223" t="str">
            <v>TGO</v>
          </cell>
          <cell r="C223" t="str">
            <v>Togo</v>
          </cell>
        </row>
        <row r="224">
          <cell r="A224" t="str">
            <v>トケラウ</v>
          </cell>
          <cell r="B224" t="str">
            <v>TKL</v>
          </cell>
          <cell r="C224" t="str">
            <v>Tokelau</v>
          </cell>
        </row>
        <row r="225">
          <cell r="A225" t="str">
            <v>トンガ</v>
          </cell>
          <cell r="B225" t="str">
            <v>TON</v>
          </cell>
          <cell r="C225" t="str">
            <v>Tonga</v>
          </cell>
        </row>
        <row r="226">
          <cell r="A226" t="str">
            <v>トリニダード・トバゴ</v>
          </cell>
          <cell r="B226" t="str">
            <v>TTO</v>
          </cell>
          <cell r="C226" t="str">
            <v>Trinidad and Tobago</v>
          </cell>
        </row>
        <row r="227">
          <cell r="A227" t="str">
            <v>チュニジア</v>
          </cell>
          <cell r="B227" t="str">
            <v>TUN</v>
          </cell>
          <cell r="C227" t="str">
            <v>Tunisia</v>
          </cell>
        </row>
        <row r="228">
          <cell r="A228" t="str">
            <v>トルコ</v>
          </cell>
          <cell r="B228" t="str">
            <v>TUR</v>
          </cell>
          <cell r="C228" t="str">
            <v>Türkiye</v>
          </cell>
        </row>
        <row r="229">
          <cell r="A229" t="str">
            <v>トルクメニスタン</v>
          </cell>
          <cell r="B229" t="str">
            <v>TKM</v>
          </cell>
          <cell r="C229" t="str">
            <v>Turkmenistan</v>
          </cell>
        </row>
        <row r="230">
          <cell r="A230" t="str">
            <v>タークス・カイコス諸島</v>
          </cell>
          <cell r="B230" t="str">
            <v>TCA</v>
          </cell>
          <cell r="C230" t="str">
            <v>Turks and Caicos Islands</v>
          </cell>
        </row>
        <row r="231">
          <cell r="A231" t="str">
            <v>ツバル</v>
          </cell>
          <cell r="B231" t="str">
            <v>TUV</v>
          </cell>
          <cell r="C231" t="str">
            <v>Tuvalu</v>
          </cell>
        </row>
        <row r="232">
          <cell r="A232" t="str">
            <v>ウガンダ</v>
          </cell>
          <cell r="B232" t="str">
            <v>UGA</v>
          </cell>
          <cell r="C232" t="str">
            <v>Uganda</v>
          </cell>
        </row>
        <row r="233">
          <cell r="A233" t="str">
            <v>ウクライナ</v>
          </cell>
          <cell r="B233" t="str">
            <v>UKR</v>
          </cell>
          <cell r="C233" t="str">
            <v>Ukraine</v>
          </cell>
        </row>
        <row r="234">
          <cell r="A234" t="str">
            <v>UAE</v>
          </cell>
          <cell r="B234" t="str">
            <v>ARE</v>
          </cell>
          <cell r="C234" t="str">
            <v>United Arab Emirates</v>
          </cell>
        </row>
        <row r="235">
          <cell r="A235" t="str">
            <v>イギリス</v>
          </cell>
          <cell r="B235" t="str">
            <v>GBR</v>
          </cell>
          <cell r="C235" t="str">
            <v>Britain</v>
          </cell>
        </row>
        <row r="236">
          <cell r="A236" t="str">
            <v>アメリカ</v>
          </cell>
          <cell r="B236" t="str">
            <v>USA</v>
          </cell>
          <cell r="C236" t="str">
            <v>America</v>
          </cell>
        </row>
        <row r="237">
          <cell r="A237" t="str">
            <v>合衆国外諸島</v>
          </cell>
          <cell r="B237" t="str">
            <v>UMI</v>
          </cell>
          <cell r="C237" t="str">
            <v>United States Minor Outlying Islands</v>
          </cell>
        </row>
        <row r="238">
          <cell r="A238" t="str">
            <v>ウルグアイ</v>
          </cell>
          <cell r="B238" t="str">
            <v>URY</v>
          </cell>
          <cell r="C238" t="str">
            <v>Uruguay</v>
          </cell>
        </row>
        <row r="239">
          <cell r="A239" t="str">
            <v>ウズベキスタン</v>
          </cell>
          <cell r="B239" t="str">
            <v>UZB</v>
          </cell>
          <cell r="C239" t="str">
            <v>Uzbekistan</v>
          </cell>
        </row>
        <row r="240">
          <cell r="A240" t="str">
            <v>バヌアツ</v>
          </cell>
          <cell r="B240" t="str">
            <v>VUT</v>
          </cell>
          <cell r="C240" t="str">
            <v>Vanuatu</v>
          </cell>
        </row>
        <row r="241">
          <cell r="A241" t="str">
            <v>ベネズエラ</v>
          </cell>
          <cell r="B241" t="str">
            <v>VEN</v>
          </cell>
          <cell r="C241" t="str">
            <v>Venezuela</v>
          </cell>
        </row>
        <row r="242">
          <cell r="A242" t="str">
            <v>ベトナム</v>
          </cell>
          <cell r="B242" t="str">
            <v>VNM</v>
          </cell>
          <cell r="C242" t="str">
            <v>Viet Nam</v>
          </cell>
        </row>
        <row r="243">
          <cell r="A243" t="str">
            <v>ウォリス・フツナ</v>
          </cell>
          <cell r="B243" t="str">
            <v>WLF</v>
          </cell>
          <cell r="C243" t="str">
            <v>Wallis and Futuna</v>
          </cell>
        </row>
        <row r="244">
          <cell r="A244" t="str">
            <v>西サハラ</v>
          </cell>
          <cell r="B244" t="str">
            <v>ESH</v>
          </cell>
          <cell r="C244" t="str">
            <v>Western Sahara</v>
          </cell>
        </row>
        <row r="245">
          <cell r="A245" t="str">
            <v>イエメン</v>
          </cell>
          <cell r="B245" t="str">
            <v>YEM</v>
          </cell>
          <cell r="C245" t="str">
            <v>Yemen</v>
          </cell>
        </row>
        <row r="246">
          <cell r="A246" t="str">
            <v>ザンビア</v>
          </cell>
          <cell r="B246" t="str">
            <v>ZMB</v>
          </cell>
          <cell r="C246" t="str">
            <v>Zambia</v>
          </cell>
        </row>
        <row r="247">
          <cell r="A247" t="str">
            <v>ジンバブエ</v>
          </cell>
          <cell r="B247" t="str">
            <v>ZWE</v>
          </cell>
          <cell r="C247" t="str">
            <v>Zimbabwe</v>
          </cell>
        </row>
        <row r="248">
          <cell r="A248" t="str">
            <v>CPTPP</v>
          </cell>
          <cell r="B248" t="str">
            <v>CPTPP</v>
          </cell>
          <cell r="C248" t="str">
            <v>Comprehensive and Progressive Agreement for Trans-Pacific Partnership</v>
          </cell>
        </row>
        <row r="249">
          <cell r="A249" t="str">
            <v>欧州連合</v>
          </cell>
          <cell r="B249" t="str">
            <v>EU</v>
          </cell>
          <cell r="C249" t="str">
            <v>EU</v>
          </cell>
        </row>
        <row r="250">
          <cell r="A250" t="str">
            <v>コソボ</v>
          </cell>
          <cell r="B250" t="str">
            <v>XKK</v>
          </cell>
          <cell r="C250" t="str">
            <v>Kosovo</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bloomberg.com/news/articles/2026-03-31/paraguay-names-interim-finance-chief-after-fernandez-resigns" TargetMode="External"/><Relationship Id="rId2" Type="http://schemas.openxmlformats.org/officeDocument/2006/relationships/hyperlink" Target="https://www.bloomberg.com/news/articles/2026-03-30/russian-oil-shipment-buys-us-and-cuba-time-as-crisis-festers" TargetMode="External"/><Relationship Id="rId1" Type="http://schemas.openxmlformats.org/officeDocument/2006/relationships/hyperlink" Target="https://www.reuters.com/world/europe/exit-polls-suggest-italys-meloni-has-narrowly-lost-justice-referendum-vote-2026-03-23/" TargetMode="External"/><Relationship Id="rId5" Type="http://schemas.openxmlformats.org/officeDocument/2006/relationships/hyperlink" Target="https://www.bloomberg.com/news/articles/2026-04-01/roberto-velasco-poised-to-be-mexico-s-top-diplomat-after-de-la-fuente-resigns" TargetMode="External"/><Relationship Id="rId4" Type="http://schemas.openxmlformats.org/officeDocument/2006/relationships/hyperlink" Target="https://www.bloomberg.com/news/articles/2026-03-31/third-us-aircraft-carrier-heads-to-mideast-as-iran-war-contin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53815-6F7F-462F-8165-5CE05A98A928}">
  <sheetPr filterMode="1"/>
  <dimension ref="A1:S373"/>
  <sheetViews>
    <sheetView tabSelected="1" zoomScale="85" zoomScaleNormal="85" workbookViewId="0">
      <pane ySplit="1" topLeftCell="A84" activePane="bottomLeft" state="frozen"/>
      <selection pane="bottomLeft" activeCell="R116" sqref="R116"/>
    </sheetView>
  </sheetViews>
  <sheetFormatPr defaultRowHeight="18"/>
  <cols>
    <col min="1" max="2" width="0" style="2" hidden="1" customWidth="1"/>
    <col min="4" max="4" width="34.19921875" style="7" customWidth="1"/>
    <col min="5" max="5" width="34.19921875" customWidth="1"/>
    <col min="10" max="12" width="8.796875" style="2" hidden="1" customWidth="1"/>
    <col min="13" max="13" width="8.796875" style="2"/>
    <col min="16" max="16" width="10.3984375" bestFit="1" customWidth="1"/>
  </cols>
  <sheetData>
    <row r="1" spans="1:19">
      <c r="A1" s="2" t="s">
        <v>0</v>
      </c>
      <c r="B1" s="2" t="s">
        <v>1</v>
      </c>
      <c r="C1" t="s">
        <v>2</v>
      </c>
      <c r="D1" s="7" t="s">
        <v>3</v>
      </c>
      <c r="E1" t="s">
        <v>4</v>
      </c>
      <c r="F1" t="s">
        <v>5</v>
      </c>
      <c r="G1" t="s">
        <v>6</v>
      </c>
      <c r="H1" t="s">
        <v>7</v>
      </c>
      <c r="I1" t="s">
        <v>8</v>
      </c>
      <c r="J1" s="2" t="s">
        <v>9</v>
      </c>
      <c r="K1" s="2" t="s">
        <v>10</v>
      </c>
      <c r="L1" s="2" t="s">
        <v>11</v>
      </c>
      <c r="M1" s="2" t="s">
        <v>12</v>
      </c>
      <c r="N1" t="s">
        <v>13</v>
      </c>
      <c r="O1" t="s">
        <v>14</v>
      </c>
      <c r="P1" t="s">
        <v>15</v>
      </c>
      <c r="Q1" t="s">
        <v>16</v>
      </c>
      <c r="R1" t="s">
        <v>17</v>
      </c>
      <c r="S1" t="s">
        <v>18</v>
      </c>
    </row>
    <row r="2" spans="1:19" hidden="1">
      <c r="A2" s="2" t="str">
        <f>IF(C2="","",VLOOKUP(C2,[1]ISO辞書!A:C,2,FALSE))</f>
        <v>SVN</v>
      </c>
      <c r="B2" s="3" t="str">
        <f>IF(C2="","",VLOOKUP(C2,[1]ISO辞書!A:C,3,FALSE))</f>
        <v>Slovenia</v>
      </c>
      <c r="C2" t="s">
        <v>161</v>
      </c>
      <c r="D2" s="7" t="s">
        <v>162</v>
      </c>
      <c r="E2" t="s">
        <v>163</v>
      </c>
      <c r="F2" t="s">
        <v>164</v>
      </c>
      <c r="J2" s="2" t="str">
        <f>IF(G2="","",VLOOKUP(G2,[1]ISO辞書!A:B,2,FALSE))</f>
        <v/>
      </c>
      <c r="K2" s="2" t="str">
        <f>IF(H2="","",VLOOKUP(H2,[1]ISO辞書!A:B,2,FALSE))</f>
        <v/>
      </c>
      <c r="L2" s="2" t="str">
        <f>IF(I2="","",VLOOKUP(I2,[1]ISO辞書!A:B,2,FALSE))</f>
        <v/>
      </c>
      <c r="M2" s="3" t="str">
        <f t="shared" ref="M2:M65" si="0">_xlfn.TEXTJOIN(";",TRUE,J2:L2)</f>
        <v/>
      </c>
      <c r="N2" t="s">
        <v>165</v>
      </c>
      <c r="O2" t="s">
        <v>79</v>
      </c>
      <c r="P2" s="1">
        <v>46103</v>
      </c>
      <c r="Q2" t="s">
        <v>159</v>
      </c>
      <c r="R2" t="s">
        <v>166</v>
      </c>
      <c r="S2">
        <v>2</v>
      </c>
    </row>
    <row r="3" spans="1:19" hidden="1">
      <c r="A3" s="2" t="str">
        <f>IF(C3="","",VLOOKUP(C3,[1]ISO辞書!A:C,2,FALSE))</f>
        <v>TCD</v>
      </c>
      <c r="B3" s="3" t="str">
        <f>IF(C3="","",VLOOKUP(C3,[1]ISO辞書!A:C,3,FALSE))</f>
        <v>Chad</v>
      </c>
      <c r="C3" t="s">
        <v>19</v>
      </c>
      <c r="D3" s="7" t="s">
        <v>20</v>
      </c>
      <c r="E3" t="s">
        <v>21</v>
      </c>
      <c r="F3" t="s">
        <v>22</v>
      </c>
      <c r="G3" t="s">
        <v>23</v>
      </c>
      <c r="J3" s="2" t="str">
        <f>IF(G3="","",VLOOKUP(G3,[1]ISO辞書!A:B,2,FALSE))</f>
        <v>SDN</v>
      </c>
      <c r="K3" s="2" t="str">
        <f>IF(H3="","",VLOOKUP(H3,[1]ISO辞書!A:B,2,FALSE))</f>
        <v/>
      </c>
      <c r="L3" s="2" t="str">
        <f>IF(I3="","",VLOOKUP(I3,[1]ISO辞書!A:B,2,FALSE))</f>
        <v/>
      </c>
      <c r="M3" s="3" t="str">
        <f t="shared" si="0"/>
        <v>SDN</v>
      </c>
      <c r="N3" t="s">
        <v>24</v>
      </c>
      <c r="O3" t="s">
        <v>25</v>
      </c>
      <c r="P3" s="1">
        <v>46104</v>
      </c>
      <c r="Q3" t="s">
        <v>26</v>
      </c>
      <c r="R3" t="s">
        <v>27</v>
      </c>
      <c r="S3">
        <v>1</v>
      </c>
    </row>
    <row r="4" spans="1:19" hidden="1">
      <c r="A4" s="2" t="str">
        <f>IF(C4="","",VLOOKUP(C4,[1]ISO辞書!A:C,2,FALSE))</f>
        <v>CRI</v>
      </c>
      <c r="B4" s="3" t="str">
        <f>IF(C4="","",VLOOKUP(C4,[1]ISO辞書!A:C,3,FALSE))</f>
        <v>Costa Rica</v>
      </c>
      <c r="C4" t="s">
        <v>59</v>
      </c>
      <c r="D4" s="7" t="s">
        <v>60</v>
      </c>
      <c r="E4" t="s">
        <v>61</v>
      </c>
      <c r="F4" t="s">
        <v>24</v>
      </c>
      <c r="G4" t="s">
        <v>28</v>
      </c>
      <c r="J4" s="2" t="str">
        <f>IF(G4="","",VLOOKUP(G4,[1]ISO辞書!A:B,2,FALSE))</f>
        <v>USA</v>
      </c>
      <c r="K4" s="2" t="str">
        <f>IF(H4="","",VLOOKUP(H4,[1]ISO辞書!A:B,2,FALSE))</f>
        <v/>
      </c>
      <c r="L4" s="2" t="str">
        <f>IF(I4="","",VLOOKUP(I4,[1]ISO辞書!A:B,2,FALSE))</f>
        <v/>
      </c>
      <c r="M4" s="3" t="str">
        <f t="shared" si="0"/>
        <v>USA</v>
      </c>
      <c r="N4" t="s">
        <v>24</v>
      </c>
      <c r="O4" t="s">
        <v>53</v>
      </c>
      <c r="P4" s="1">
        <v>46104</v>
      </c>
      <c r="Q4" t="s">
        <v>26</v>
      </c>
      <c r="R4" t="s">
        <v>62</v>
      </c>
      <c r="S4">
        <v>4</v>
      </c>
    </row>
    <row r="5" spans="1:19" hidden="1">
      <c r="A5" s="2" t="str">
        <f>IF(C5="","",VLOOKUP(C5,[1]ISO辞書!A:C,2,FALSE))</f>
        <v>CHN</v>
      </c>
      <c r="B5" s="3" t="str">
        <f>IF(C5="","",VLOOKUP(C5,[1]ISO辞書!A:C,3,FALSE))</f>
        <v>China</v>
      </c>
      <c r="C5" t="s">
        <v>71</v>
      </c>
      <c r="D5" s="7" t="s">
        <v>106</v>
      </c>
      <c r="E5" t="s">
        <v>107</v>
      </c>
      <c r="F5" t="s">
        <v>79</v>
      </c>
      <c r="J5" s="2" t="str">
        <f>IF(G5="","",VLOOKUP(G5,[1]ISO辞書!A:B,2,FALSE))</f>
        <v/>
      </c>
      <c r="K5" s="2" t="str">
        <f>IF(H5="","",VLOOKUP(H5,[1]ISO辞書!A:B,2,FALSE))</f>
        <v/>
      </c>
      <c r="L5" s="2" t="str">
        <f>IF(I5="","",VLOOKUP(I5,[1]ISO辞書!A:B,2,FALSE))</f>
        <v/>
      </c>
      <c r="M5" s="3" t="str">
        <f t="shared" si="0"/>
        <v/>
      </c>
      <c r="N5" t="s">
        <v>80</v>
      </c>
      <c r="O5" t="s">
        <v>80</v>
      </c>
      <c r="P5" s="1">
        <v>46104</v>
      </c>
      <c r="Q5" t="s">
        <v>26</v>
      </c>
      <c r="R5" t="s">
        <v>108</v>
      </c>
      <c r="S5">
        <v>5</v>
      </c>
    </row>
    <row r="6" spans="1:19" hidden="1">
      <c r="A6" s="2" t="str">
        <f>IF(C6="","",VLOOKUP(C6,[1]ISO辞書!A:C,2,FALSE))</f>
        <v>ISR</v>
      </c>
      <c r="B6" s="3" t="str">
        <f>IF(C6="","",VLOOKUP(C6,[1]ISO辞書!A:C,3,FALSE))</f>
        <v>Israel</v>
      </c>
      <c r="C6" t="s">
        <v>153</v>
      </c>
      <c r="D6" s="7" t="s">
        <v>154</v>
      </c>
      <c r="E6" t="s">
        <v>155</v>
      </c>
      <c r="F6" t="s">
        <v>156</v>
      </c>
      <c r="G6" t="s">
        <v>157</v>
      </c>
      <c r="J6" s="2" t="str">
        <f>IF(G6="","",VLOOKUP(G6,[1]ISO辞書!A:B,2,FALSE))</f>
        <v>LBN</v>
      </c>
      <c r="K6" s="2" t="str">
        <f>IF(H6="","",VLOOKUP(H6,[1]ISO辞書!A:B,2,FALSE))</f>
        <v/>
      </c>
      <c r="L6" s="2" t="str">
        <f>IF(I6="","",VLOOKUP(I6,[1]ISO辞書!A:B,2,FALSE))</f>
        <v/>
      </c>
      <c r="M6" s="3" t="str">
        <f t="shared" si="0"/>
        <v>LBN</v>
      </c>
      <c r="N6" t="s">
        <v>158</v>
      </c>
      <c r="O6" t="s">
        <v>69</v>
      </c>
      <c r="P6" s="1">
        <v>46104</v>
      </c>
      <c r="Q6" t="s">
        <v>159</v>
      </c>
      <c r="R6" s="4" t="s">
        <v>160</v>
      </c>
      <c r="S6">
        <v>4</v>
      </c>
    </row>
    <row r="7" spans="1:19" hidden="1">
      <c r="A7" s="2" t="str">
        <f>IF(C7="","",VLOOKUP(C7,[1]ISO辞書!A:C,2,FALSE))</f>
        <v>ITA</v>
      </c>
      <c r="B7" s="3" t="str">
        <f>IF(C7="","",VLOOKUP(C7,[1]ISO辞書!A:C,3,FALSE))</f>
        <v>Italy</v>
      </c>
      <c r="C7" t="s">
        <v>167</v>
      </c>
      <c r="D7" s="7" t="s">
        <v>168</v>
      </c>
      <c r="E7" t="s">
        <v>169</v>
      </c>
      <c r="F7" t="s">
        <v>170</v>
      </c>
      <c r="J7" s="2" t="str">
        <f>IF(G7="","",VLOOKUP(G7,[1]ISO辞書!A:B,2,FALSE))</f>
        <v/>
      </c>
      <c r="K7" s="2" t="str">
        <f>IF(H7="","",VLOOKUP(H7,[1]ISO辞書!A:B,2,FALSE))</f>
        <v/>
      </c>
      <c r="L7" s="2" t="str">
        <f>IF(I7="","",VLOOKUP(I7,[1]ISO辞書!A:B,2,FALSE))</f>
        <v/>
      </c>
      <c r="M7" s="3" t="str">
        <f t="shared" si="0"/>
        <v/>
      </c>
      <c r="N7" t="s">
        <v>165</v>
      </c>
      <c r="O7" t="s">
        <v>79</v>
      </c>
      <c r="P7" s="1">
        <v>46104</v>
      </c>
      <c r="Q7" t="s">
        <v>159</v>
      </c>
      <c r="R7" s="5" t="s">
        <v>171</v>
      </c>
      <c r="S7">
        <v>5</v>
      </c>
    </row>
    <row r="8" spans="1:19" hidden="1">
      <c r="A8" s="2" t="str">
        <f>IF(C8="","",VLOOKUP(C8,[1]ISO辞書!A:C,2,FALSE))</f>
        <v>JPN</v>
      </c>
      <c r="B8" s="3" t="str">
        <f>IF(C8="","",VLOOKUP(C8,[1]ISO辞書!A:C,3,FALSE))</f>
        <v>Japan</v>
      </c>
      <c r="C8" t="s">
        <v>102</v>
      </c>
      <c r="D8" s="7" t="s">
        <v>103</v>
      </c>
      <c r="E8" t="s">
        <v>104</v>
      </c>
      <c r="F8" t="s">
        <v>24</v>
      </c>
      <c r="G8" t="s">
        <v>71</v>
      </c>
      <c r="J8" s="2" t="str">
        <f>IF(G8="","",VLOOKUP(G8,[1]ISO辞書!A:B,2,FALSE))</f>
        <v>CHN</v>
      </c>
      <c r="K8" s="2" t="str">
        <f>IF(H8="","",VLOOKUP(H8,[1]ISO辞書!A:B,2,FALSE))</f>
        <v/>
      </c>
      <c r="L8" s="2" t="str">
        <f>IF(I8="","",VLOOKUP(I8,[1]ISO辞書!A:B,2,FALSE))</f>
        <v/>
      </c>
      <c r="M8" s="3" t="str">
        <f t="shared" si="0"/>
        <v>CHN</v>
      </c>
      <c r="N8" t="s">
        <v>24</v>
      </c>
      <c r="O8" t="s">
        <v>53</v>
      </c>
      <c r="P8" s="1">
        <v>46105</v>
      </c>
      <c r="Q8" t="s">
        <v>26</v>
      </c>
      <c r="R8" t="s">
        <v>105</v>
      </c>
      <c r="S8">
        <v>5</v>
      </c>
    </row>
    <row r="9" spans="1:19" hidden="1">
      <c r="A9" s="2" t="str">
        <f>IF(C9="","",VLOOKUP(C9,[1]ISO辞書!A:C,2,FALSE))</f>
        <v>ISR</v>
      </c>
      <c r="B9" s="3" t="str">
        <f>IF(C9="","",VLOOKUP(C9,[1]ISO辞書!A:C,3,FALSE))</f>
        <v>Israel</v>
      </c>
      <c r="C9" t="s">
        <v>67</v>
      </c>
      <c r="D9" s="7" t="s">
        <v>131</v>
      </c>
      <c r="E9" t="s">
        <v>132</v>
      </c>
      <c r="F9" t="s">
        <v>69</v>
      </c>
      <c r="G9" t="s">
        <v>133</v>
      </c>
      <c r="J9" s="2" t="str">
        <f>IF(G9="","",VLOOKUP(G9,[1]ISO辞書!A:B,2,FALSE))</f>
        <v>LBN</v>
      </c>
      <c r="K9" s="2" t="str">
        <f>IF(H9="","",VLOOKUP(H9,[1]ISO辞書!A:B,2,FALSE))</f>
        <v/>
      </c>
      <c r="L9" s="2" t="str">
        <f>IF(I9="","",VLOOKUP(I9,[1]ISO辞書!A:B,2,FALSE))</f>
        <v/>
      </c>
      <c r="M9" s="3" t="str">
        <f t="shared" si="0"/>
        <v>LBN</v>
      </c>
      <c r="N9" t="s">
        <v>68</v>
      </c>
      <c r="O9" t="s">
        <v>69</v>
      </c>
      <c r="P9" s="1">
        <v>46105</v>
      </c>
      <c r="Q9" t="s">
        <v>26</v>
      </c>
      <c r="R9" t="s">
        <v>134</v>
      </c>
      <c r="S9">
        <v>5</v>
      </c>
    </row>
    <row r="10" spans="1:19" hidden="1">
      <c r="A10" s="2" t="str">
        <f>IF(C10="","",VLOOKUP(C10,[1]ISO辞書!A:C,2,FALSE))</f>
        <v>EU</v>
      </c>
      <c r="B10" s="3" t="str">
        <f>IF(C10="","",VLOOKUP(C10,[1]ISO辞書!A:C,3,FALSE))</f>
        <v>EU</v>
      </c>
      <c r="C10" t="s">
        <v>42</v>
      </c>
      <c r="D10" s="7" t="s">
        <v>147</v>
      </c>
      <c r="E10" t="s">
        <v>148</v>
      </c>
      <c r="G10" t="s">
        <v>149</v>
      </c>
      <c r="J10" s="2" t="str">
        <f>IF(G10="","",VLOOKUP(G10,[1]ISO辞書!A:B,2,FALSE))</f>
        <v>AUS</v>
      </c>
      <c r="K10" s="2" t="str">
        <f>IF(H10="","",VLOOKUP(H10,[1]ISO辞書!A:B,2,FALSE))</f>
        <v/>
      </c>
      <c r="L10" s="2" t="str">
        <f>IF(I10="","",VLOOKUP(I10,[1]ISO辞書!A:B,2,FALSE))</f>
        <v/>
      </c>
      <c r="M10" s="3" t="str">
        <f t="shared" si="0"/>
        <v>AUS</v>
      </c>
      <c r="N10" t="s">
        <v>24</v>
      </c>
      <c r="O10" t="s">
        <v>40</v>
      </c>
      <c r="P10" s="1">
        <v>46105</v>
      </c>
      <c r="Q10" t="s">
        <v>26</v>
      </c>
      <c r="R10" t="s">
        <v>150</v>
      </c>
      <c r="S10">
        <v>5</v>
      </c>
    </row>
    <row r="11" spans="1:19" hidden="1">
      <c r="A11" s="2" t="str">
        <f>IF(C11="","",VLOOKUP(C11,[1]ISO辞書!A:C,2,FALSE))</f>
        <v>MEX</v>
      </c>
      <c r="B11" s="3" t="str">
        <f>IF(C11="","",VLOOKUP(C11,[1]ISO辞書!A:C,3,FALSE))</f>
        <v>Mexico</v>
      </c>
      <c r="C11" t="s">
        <v>50</v>
      </c>
      <c r="D11" s="7" t="s">
        <v>51</v>
      </c>
      <c r="E11" t="s">
        <v>52</v>
      </c>
      <c r="F11" t="s">
        <v>24</v>
      </c>
      <c r="G11" t="s">
        <v>31</v>
      </c>
      <c r="J11" s="2" t="str">
        <f>IF(G11="","",VLOOKUP(G11,[1]ISO辞書!A:B,2,FALSE))</f>
        <v>CUB</v>
      </c>
      <c r="K11" s="2" t="str">
        <f>IF(H11="","",VLOOKUP(H11,[1]ISO辞書!A:B,2,FALSE))</f>
        <v/>
      </c>
      <c r="L11" s="2" t="str">
        <f>IF(I11="","",VLOOKUP(I11,[1]ISO辞書!A:B,2,FALSE))</f>
        <v/>
      </c>
      <c r="M11" s="3" t="str">
        <f t="shared" si="0"/>
        <v>CUB</v>
      </c>
      <c r="N11" t="s">
        <v>24</v>
      </c>
      <c r="O11" t="s">
        <v>53</v>
      </c>
      <c r="P11" s="1">
        <v>46106</v>
      </c>
      <c r="Q11" t="s">
        <v>26</v>
      </c>
      <c r="R11" t="s">
        <v>54</v>
      </c>
      <c r="S11">
        <v>2</v>
      </c>
    </row>
    <row r="12" spans="1:19" hidden="1">
      <c r="A12" s="2" t="str">
        <f>IF(C12="","",VLOOKUP(C12,[1]ISO辞書!A:C,2,FALSE))</f>
        <v>CYP</v>
      </c>
      <c r="B12" s="3" t="str">
        <f>IF(C12="","",VLOOKUP(C12,[1]ISO辞書!A:C,3,FALSE))</f>
        <v>Cyprus</v>
      </c>
      <c r="C12" t="s">
        <v>117</v>
      </c>
      <c r="D12" s="7" t="s">
        <v>118</v>
      </c>
      <c r="E12" t="s">
        <v>119</v>
      </c>
      <c r="F12" t="s">
        <v>24</v>
      </c>
      <c r="G12" t="s">
        <v>120</v>
      </c>
      <c r="J12" s="2" t="str">
        <f>IF(G12="","",VLOOKUP(G12,[1]ISO辞書!A:B,2,FALSE))</f>
        <v>GBR</v>
      </c>
      <c r="K12" s="2" t="str">
        <f>IF(H12="","",VLOOKUP(H12,[1]ISO辞書!A:B,2,FALSE))</f>
        <v/>
      </c>
      <c r="L12" s="2" t="str">
        <f>IF(I12="","",VLOOKUP(I12,[1]ISO辞書!A:B,2,FALSE))</f>
        <v/>
      </c>
      <c r="M12" s="3" t="str">
        <f t="shared" si="0"/>
        <v>GBR</v>
      </c>
      <c r="N12" t="s">
        <v>24</v>
      </c>
      <c r="O12" t="s">
        <v>74</v>
      </c>
      <c r="P12" s="1">
        <v>46106</v>
      </c>
      <c r="Q12" t="s">
        <v>26</v>
      </c>
      <c r="R12" t="s">
        <v>121</v>
      </c>
      <c r="S12">
        <v>4</v>
      </c>
    </row>
    <row r="13" spans="1:19" hidden="1">
      <c r="A13" s="2" t="str">
        <f>IF(C13="","",VLOOKUP(C13,[1]ISO辞書!A:C,2,FALSE))</f>
        <v>DNK</v>
      </c>
      <c r="B13" s="3" t="str">
        <f>IF(C13="","",VLOOKUP(C13,[1]ISO辞書!A:C,3,FALSE))</f>
        <v>Denmark</v>
      </c>
      <c r="C13" t="s">
        <v>122</v>
      </c>
      <c r="D13" s="7" t="s">
        <v>123</v>
      </c>
      <c r="E13" t="s">
        <v>124</v>
      </c>
      <c r="F13" t="s">
        <v>79</v>
      </c>
      <c r="J13" s="2" t="str">
        <f>IF(G13="","",VLOOKUP(G13,[1]ISO辞書!A:B,2,FALSE))</f>
        <v/>
      </c>
      <c r="K13" s="2" t="str">
        <f>IF(H13="","",VLOOKUP(H13,[1]ISO辞書!A:B,2,FALSE))</f>
        <v/>
      </c>
      <c r="L13" s="2" t="str">
        <f>IF(I13="","",VLOOKUP(I13,[1]ISO辞書!A:B,2,FALSE))</f>
        <v/>
      </c>
      <c r="M13" s="3" t="str">
        <f t="shared" si="0"/>
        <v/>
      </c>
      <c r="N13" t="s">
        <v>80</v>
      </c>
      <c r="O13" t="s">
        <v>80</v>
      </c>
      <c r="P13" s="1">
        <v>46106</v>
      </c>
      <c r="Q13" t="s">
        <v>26</v>
      </c>
      <c r="R13" t="s">
        <v>125</v>
      </c>
      <c r="S13">
        <v>3</v>
      </c>
    </row>
    <row r="14" spans="1:19" hidden="1">
      <c r="A14" s="2" t="str">
        <f>IF(C14="","",VLOOKUP(C14,[1]ISO辞書!A:C,2,FALSE))</f>
        <v>GBR</v>
      </c>
      <c r="B14" s="3" t="str">
        <f>IF(C14="","",VLOOKUP(C14,[1]ISO辞書!A:C,3,FALSE))</f>
        <v>Britain</v>
      </c>
      <c r="C14" t="s">
        <v>120</v>
      </c>
      <c r="D14" s="7" t="s">
        <v>135</v>
      </c>
      <c r="E14" t="s">
        <v>136</v>
      </c>
      <c r="F14" t="s">
        <v>24</v>
      </c>
      <c r="G14" t="s">
        <v>137</v>
      </c>
      <c r="J14" s="2" t="str">
        <f>IF(G14="","",VLOOKUP(G14,[1]ISO辞書!A:B,2,FALSE))</f>
        <v>TUR</v>
      </c>
      <c r="K14" s="2" t="str">
        <f>IF(H14="","",VLOOKUP(H14,[1]ISO辞書!A:B,2,FALSE))</f>
        <v/>
      </c>
      <c r="L14" s="2" t="str">
        <f>IF(I14="","",VLOOKUP(I14,[1]ISO辞書!A:B,2,FALSE))</f>
        <v/>
      </c>
      <c r="M14" s="3" t="str">
        <f t="shared" si="0"/>
        <v>TUR</v>
      </c>
      <c r="N14" t="s">
        <v>24</v>
      </c>
      <c r="O14" t="s">
        <v>74</v>
      </c>
      <c r="P14" s="1">
        <v>46106</v>
      </c>
      <c r="Q14" t="s">
        <v>26</v>
      </c>
      <c r="R14" t="s">
        <v>138</v>
      </c>
      <c r="S14">
        <v>4</v>
      </c>
    </row>
    <row r="15" spans="1:19" hidden="1">
      <c r="A15" s="2" t="str">
        <f>IF(C15="","",VLOOKUP(C15,[1]ISO辞書!A:C,2,FALSE))</f>
        <v>KEN</v>
      </c>
      <c r="B15" s="3" t="str">
        <f>IF(C15="","",VLOOKUP(C15,[1]ISO辞書!A:C,3,FALSE))</f>
        <v>Kenya</v>
      </c>
      <c r="C15" t="s">
        <v>143</v>
      </c>
      <c r="D15" s="7" t="s">
        <v>144</v>
      </c>
      <c r="E15" t="s">
        <v>145</v>
      </c>
      <c r="F15" t="s">
        <v>24</v>
      </c>
      <c r="G15" t="s">
        <v>71</v>
      </c>
      <c r="J15" s="2" t="str">
        <f>IF(G15="","",VLOOKUP(G15,[1]ISO辞書!A:B,2,FALSE))</f>
        <v>CHN</v>
      </c>
      <c r="K15" s="2" t="str">
        <f>IF(H15="","",VLOOKUP(H15,[1]ISO辞書!A:B,2,FALSE))</f>
        <v/>
      </c>
      <c r="L15" s="2" t="str">
        <f>IF(I15="","",VLOOKUP(I15,[1]ISO辞書!A:B,2,FALSE))</f>
        <v/>
      </c>
      <c r="M15" s="3" t="str">
        <f t="shared" si="0"/>
        <v>CHN</v>
      </c>
      <c r="N15" t="s">
        <v>24</v>
      </c>
      <c r="O15" t="s">
        <v>40</v>
      </c>
      <c r="P15" s="1">
        <v>46106</v>
      </c>
      <c r="Q15" t="s">
        <v>26</v>
      </c>
      <c r="R15" t="s">
        <v>146</v>
      </c>
      <c r="S15">
        <v>3</v>
      </c>
    </row>
    <row r="16" spans="1:19" hidden="1">
      <c r="A16" s="2" t="str">
        <f>IF(C16="","",VLOOKUP(C16,[1]ISO辞書!A:C,2,FALSE))</f>
        <v>USA</v>
      </c>
      <c r="B16" s="3" t="str">
        <f>IF(C16="","",VLOOKUP(C16,[1]ISO辞書!A:C,3,FALSE))</f>
        <v>America</v>
      </c>
      <c r="C16" t="s">
        <v>28</v>
      </c>
      <c r="D16" s="7" t="s">
        <v>55</v>
      </c>
      <c r="E16" t="s">
        <v>56</v>
      </c>
      <c r="F16" t="s">
        <v>24</v>
      </c>
      <c r="G16" t="s">
        <v>57</v>
      </c>
      <c r="J16" s="2" t="str">
        <f>IF(G16="","",VLOOKUP(G16,[1]ISO辞書!A:B,2,FALSE))</f>
        <v>VEN</v>
      </c>
      <c r="K16" s="2" t="str">
        <f>IF(H16="","",VLOOKUP(H16,[1]ISO辞書!A:B,2,FALSE))</f>
        <v/>
      </c>
      <c r="L16" s="2" t="str">
        <f>IF(I16="","",VLOOKUP(I16,[1]ISO辞書!A:B,2,FALSE))</f>
        <v/>
      </c>
      <c r="M16" s="3" t="str">
        <f t="shared" si="0"/>
        <v>VEN</v>
      </c>
      <c r="N16" t="s">
        <v>24</v>
      </c>
      <c r="O16" t="s">
        <v>53</v>
      </c>
      <c r="P16" s="1">
        <v>46107</v>
      </c>
      <c r="Q16" t="s">
        <v>26</v>
      </c>
      <c r="R16" t="s">
        <v>58</v>
      </c>
      <c r="S16">
        <v>3</v>
      </c>
    </row>
    <row r="17" spans="1:19" hidden="1">
      <c r="A17" s="2" t="str">
        <f>IF(C17="","",VLOOKUP(C17,[1]ISO辞書!A:C,2,FALSE))</f>
        <v>PAK</v>
      </c>
      <c r="B17" s="3" t="str">
        <f>IF(C17="","",VLOOKUP(C17,[1]ISO辞書!A:C,3,FALSE))</f>
        <v>Pakistan</v>
      </c>
      <c r="C17" t="s">
        <v>91</v>
      </c>
      <c r="D17" s="7" t="s">
        <v>92</v>
      </c>
      <c r="E17" t="s">
        <v>93</v>
      </c>
      <c r="F17" t="s">
        <v>22</v>
      </c>
      <c r="G17" t="s">
        <v>94</v>
      </c>
      <c r="J17" s="2" t="str">
        <f>IF(G17="","",VLOOKUP(G17,[1]ISO辞書!A:B,2,FALSE))</f>
        <v>AFG</v>
      </c>
      <c r="K17" s="2" t="str">
        <f>IF(H17="","",VLOOKUP(H17,[1]ISO辞書!A:B,2,FALSE))</f>
        <v/>
      </c>
      <c r="L17" s="2" t="str">
        <f>IF(I17="","",VLOOKUP(I17,[1]ISO辞書!A:B,2,FALSE))</f>
        <v/>
      </c>
      <c r="M17" s="3" t="str">
        <f t="shared" si="0"/>
        <v>AFG</v>
      </c>
      <c r="N17" t="s">
        <v>68</v>
      </c>
      <c r="O17" t="s">
        <v>69</v>
      </c>
      <c r="P17" s="1">
        <v>46107</v>
      </c>
      <c r="Q17" t="s">
        <v>26</v>
      </c>
      <c r="R17" t="s">
        <v>95</v>
      </c>
      <c r="S17">
        <v>5</v>
      </c>
    </row>
    <row r="18" spans="1:19" hidden="1">
      <c r="A18" s="2" t="str">
        <f>IF(C18="","",VLOOKUP(C18,[1]ISO辞書!A:C,2,FALSE))</f>
        <v>USA</v>
      </c>
      <c r="B18" s="3" t="str">
        <f>IF(C18="","",VLOOKUP(C18,[1]ISO辞書!A:C,3,FALSE))</f>
        <v>America</v>
      </c>
      <c r="C18" t="s">
        <v>28</v>
      </c>
      <c r="D18" s="7" t="s">
        <v>96</v>
      </c>
      <c r="E18" t="s">
        <v>97</v>
      </c>
      <c r="F18" t="s">
        <v>22</v>
      </c>
      <c r="G18" t="s">
        <v>66</v>
      </c>
      <c r="J18" s="2" t="str">
        <f>IF(G18="","",VLOOKUP(G18,[1]ISO辞書!A:B,2,FALSE))</f>
        <v>IRN</v>
      </c>
      <c r="K18" s="2" t="str">
        <f>IF(H18="","",VLOOKUP(H18,[1]ISO辞書!A:B,2,FALSE))</f>
        <v/>
      </c>
      <c r="L18" s="2" t="str">
        <f>IF(I18="","",VLOOKUP(I18,[1]ISO辞書!A:B,2,FALSE))</f>
        <v/>
      </c>
      <c r="M18" s="3" t="str">
        <f t="shared" si="0"/>
        <v>IRN</v>
      </c>
      <c r="N18" t="s">
        <v>68</v>
      </c>
      <c r="O18" t="s">
        <v>69</v>
      </c>
      <c r="P18" s="1">
        <v>46107</v>
      </c>
      <c r="Q18" t="s">
        <v>26</v>
      </c>
      <c r="R18" t="s">
        <v>98</v>
      </c>
      <c r="S18">
        <v>5</v>
      </c>
    </row>
    <row r="19" spans="1:19" hidden="1">
      <c r="A19" s="2" t="str">
        <f>IF(C19="","",VLOOKUP(C19,[1]ISO辞書!A:C,2,FALSE))</f>
        <v>IRN</v>
      </c>
      <c r="B19" s="3" t="str">
        <f>IF(C19="","",VLOOKUP(C19,[1]ISO辞書!A:C,3,FALSE))</f>
        <v>Iran</v>
      </c>
      <c r="C19" t="s">
        <v>66</v>
      </c>
      <c r="D19" s="7" t="s">
        <v>99</v>
      </c>
      <c r="E19" t="s">
        <v>100</v>
      </c>
      <c r="F19" t="s">
        <v>22</v>
      </c>
      <c r="G19" t="s">
        <v>28</v>
      </c>
      <c r="H19" t="s">
        <v>91</v>
      </c>
      <c r="J19" s="2" t="str">
        <f>IF(G19="","",VLOOKUP(G19,[1]ISO辞書!A:B,2,FALSE))</f>
        <v>USA</v>
      </c>
      <c r="K19" s="2" t="str">
        <f>IF(H19="","",VLOOKUP(H19,[1]ISO辞書!A:B,2,FALSE))</f>
        <v>PAK</v>
      </c>
      <c r="L19" s="2" t="str">
        <f>IF(I19="","",VLOOKUP(I19,[1]ISO辞書!A:B,2,FALSE))</f>
        <v/>
      </c>
      <c r="M19" s="3" t="str">
        <f t="shared" si="0"/>
        <v>USA;PAK</v>
      </c>
      <c r="N19" t="s">
        <v>68</v>
      </c>
      <c r="O19" t="s">
        <v>69</v>
      </c>
      <c r="P19" s="1">
        <v>46107</v>
      </c>
      <c r="Q19" t="s">
        <v>26</v>
      </c>
      <c r="R19" t="s">
        <v>101</v>
      </c>
      <c r="S19">
        <v>5</v>
      </c>
    </row>
    <row r="20" spans="1:19" hidden="1">
      <c r="A20" s="2" t="str">
        <f>IF(C20="","",VLOOKUP(C20,[1]ISO辞書!A:C,2,FALSE))</f>
        <v>UKR</v>
      </c>
      <c r="B20" s="3" t="str">
        <f>IF(C20="","",VLOOKUP(C20,[1]ISO辞書!A:C,3,FALSE))</f>
        <v>Ukraine</v>
      </c>
      <c r="C20" t="s">
        <v>109</v>
      </c>
      <c r="D20" s="7" t="s">
        <v>113</v>
      </c>
      <c r="E20" t="s">
        <v>114</v>
      </c>
      <c r="F20" t="s">
        <v>69</v>
      </c>
      <c r="G20" t="s">
        <v>115</v>
      </c>
      <c r="J20" s="2" t="str">
        <f>IF(G20="","",VLOOKUP(G20,[1]ISO辞書!A:B,2,FALSE))</f>
        <v>RUS</v>
      </c>
      <c r="K20" s="2" t="str">
        <f>IF(H20="","",VLOOKUP(H20,[1]ISO辞書!A:B,2,FALSE))</f>
        <v/>
      </c>
      <c r="L20" s="2" t="str">
        <f>IF(I20="","",VLOOKUP(I20,[1]ISO辞書!A:B,2,FALSE))</f>
        <v/>
      </c>
      <c r="M20" s="3" t="str">
        <f t="shared" si="0"/>
        <v>RUS</v>
      </c>
      <c r="N20" t="s">
        <v>68</v>
      </c>
      <c r="O20" t="s">
        <v>69</v>
      </c>
      <c r="P20" s="1">
        <v>46107</v>
      </c>
      <c r="Q20" t="s">
        <v>26</v>
      </c>
      <c r="R20" t="s">
        <v>116</v>
      </c>
      <c r="S20">
        <v>5</v>
      </c>
    </row>
    <row r="21" spans="1:19" hidden="1">
      <c r="A21" s="2" t="str">
        <f>IF(C21="","",VLOOKUP(C21,[1]ISO辞書!A:C,2,FALSE))</f>
        <v>USA</v>
      </c>
      <c r="B21" s="3" t="str">
        <f>IF(C21="","",VLOOKUP(C21,[1]ISO辞書!A:C,3,FALSE))</f>
        <v>America</v>
      </c>
      <c r="C21" t="s">
        <v>28</v>
      </c>
      <c r="D21" s="7" t="s">
        <v>29</v>
      </c>
      <c r="E21" t="s">
        <v>30</v>
      </c>
      <c r="F21" t="s">
        <v>22</v>
      </c>
      <c r="G21" t="s">
        <v>31</v>
      </c>
      <c r="J21" s="2" t="str">
        <f>IF(G21="","",VLOOKUP(G21,[1]ISO辞書!A:B,2,FALSE))</f>
        <v>CUB</v>
      </c>
      <c r="K21" s="2" t="str">
        <f>IF(H21="","",VLOOKUP(H21,[1]ISO辞書!A:B,2,FALSE))</f>
        <v/>
      </c>
      <c r="L21" s="2" t="str">
        <f>IF(I21="","",VLOOKUP(I21,[1]ISO辞書!A:B,2,FALSE))</f>
        <v/>
      </c>
      <c r="M21" s="3" t="str">
        <f t="shared" si="0"/>
        <v>CUB</v>
      </c>
      <c r="N21" t="s">
        <v>24</v>
      </c>
      <c r="O21" t="s">
        <v>25</v>
      </c>
      <c r="P21" s="1">
        <v>46108</v>
      </c>
      <c r="Q21" t="s">
        <v>26</v>
      </c>
      <c r="R21" t="s">
        <v>32</v>
      </c>
      <c r="S21">
        <v>4</v>
      </c>
    </row>
    <row r="22" spans="1:19" hidden="1">
      <c r="A22" s="2" t="str">
        <f>IF(C22="","",VLOOKUP(C22,[1]ISO辞書!A:C,2,FALSE))</f>
        <v>CAN</v>
      </c>
      <c r="B22" s="3" t="str">
        <f>IF(C22="","",VLOOKUP(C22,[1]ISO辞書!A:C,3,FALSE))</f>
        <v>Canada</v>
      </c>
      <c r="C22" t="s">
        <v>33</v>
      </c>
      <c r="D22" s="7" t="s">
        <v>34</v>
      </c>
      <c r="E22" t="s">
        <v>35</v>
      </c>
      <c r="F22" t="s">
        <v>36</v>
      </c>
      <c r="G22" t="s">
        <v>37</v>
      </c>
      <c r="H22" t="s">
        <v>38</v>
      </c>
      <c r="I22" t="s">
        <v>39</v>
      </c>
      <c r="J22" s="2" t="str">
        <f>IF(G22="","",VLOOKUP(G22,[1]ISO辞書!A:B,2,FALSE))</f>
        <v>BRA</v>
      </c>
      <c r="K22" s="2" t="str">
        <f>IF(H22="","",VLOOKUP(H22,[1]ISO辞書!A:B,2,FALSE))</f>
        <v>ARG</v>
      </c>
      <c r="L22" s="2" t="str">
        <f>IF(I22="","",VLOOKUP(I22,[1]ISO辞書!A:B,2,FALSE))</f>
        <v>PRY</v>
      </c>
      <c r="M22" s="3" t="str">
        <f t="shared" si="0"/>
        <v>BRA;ARG;PRY</v>
      </c>
      <c r="N22" t="s">
        <v>40</v>
      </c>
      <c r="O22" t="s">
        <v>40</v>
      </c>
      <c r="P22" s="1">
        <v>46108</v>
      </c>
      <c r="Q22" t="s">
        <v>26</v>
      </c>
      <c r="R22" t="s">
        <v>41</v>
      </c>
      <c r="S22">
        <v>4</v>
      </c>
    </row>
    <row r="23" spans="1:19" hidden="1">
      <c r="A23" s="2" t="str">
        <f>IF(C23="","",VLOOKUP(C23,[1]ISO辞書!A:C,2,FALSE))</f>
        <v>EU</v>
      </c>
      <c r="B23" s="3" t="str">
        <f>IF(C23="","",VLOOKUP(C23,[1]ISO辞書!A:C,3,FALSE))</f>
        <v>EU</v>
      </c>
      <c r="C23" t="s">
        <v>42</v>
      </c>
      <c r="D23" s="7" t="s">
        <v>43</v>
      </c>
      <c r="E23" t="s">
        <v>44</v>
      </c>
      <c r="F23" t="s">
        <v>36</v>
      </c>
      <c r="G23" t="s">
        <v>45</v>
      </c>
      <c r="J23" s="2" t="str">
        <f>IF(G23="","",VLOOKUP(G23,[1]ISO辞書!A:B,2,FALSE))</f>
        <v>CPTPP</v>
      </c>
      <c r="K23" s="2" t="str">
        <f>IF(H23="","",VLOOKUP(H23,[1]ISO辞書!A:B,2,FALSE))</f>
        <v/>
      </c>
      <c r="L23" s="2" t="str">
        <f>IF(I23="","",VLOOKUP(I23,[1]ISO辞書!A:B,2,FALSE))</f>
        <v/>
      </c>
      <c r="M23" s="3" t="str">
        <f t="shared" si="0"/>
        <v>CPTPP</v>
      </c>
      <c r="N23" t="s">
        <v>40</v>
      </c>
      <c r="O23" t="s">
        <v>40</v>
      </c>
      <c r="P23" s="1">
        <v>46108</v>
      </c>
      <c r="Q23" t="s">
        <v>26</v>
      </c>
      <c r="R23" t="s">
        <v>46</v>
      </c>
      <c r="S23">
        <v>5</v>
      </c>
    </row>
    <row r="24" spans="1:19" hidden="1">
      <c r="A24" s="2" t="str">
        <f>IF(C24="","",VLOOKUP(C24,[1]ISO辞書!A:C,2,FALSE))</f>
        <v>CAN</v>
      </c>
      <c r="B24" s="3" t="str">
        <f>IF(C24="","",VLOOKUP(C24,[1]ISO辞書!A:C,3,FALSE))</f>
        <v>Canada</v>
      </c>
      <c r="C24" t="s">
        <v>33</v>
      </c>
      <c r="D24" s="7" t="s">
        <v>47</v>
      </c>
      <c r="E24" t="s">
        <v>48</v>
      </c>
      <c r="F24" t="s">
        <v>36</v>
      </c>
      <c r="G24" t="s">
        <v>37</v>
      </c>
      <c r="H24" t="s">
        <v>38</v>
      </c>
      <c r="I24" t="s">
        <v>39</v>
      </c>
      <c r="J24" s="2" t="str">
        <f>IF(G24="","",VLOOKUP(G24,[1]ISO辞書!A:B,2,FALSE))</f>
        <v>BRA</v>
      </c>
      <c r="K24" s="2" t="str">
        <f>IF(H24="","",VLOOKUP(H24,[1]ISO辞書!A:B,2,FALSE))</f>
        <v>ARG</v>
      </c>
      <c r="L24" s="2" t="str">
        <f>IF(I24="","",VLOOKUP(I24,[1]ISO辞書!A:B,2,FALSE))</f>
        <v>PRY</v>
      </c>
      <c r="M24" s="3" t="str">
        <f t="shared" si="0"/>
        <v>BRA;ARG;PRY</v>
      </c>
      <c r="N24" t="s">
        <v>40</v>
      </c>
      <c r="O24" t="s">
        <v>40</v>
      </c>
      <c r="P24" s="1">
        <v>46108</v>
      </c>
      <c r="Q24" t="s">
        <v>26</v>
      </c>
      <c r="R24" t="s">
        <v>49</v>
      </c>
      <c r="S24">
        <v>4</v>
      </c>
    </row>
    <row r="25" spans="1:19" hidden="1">
      <c r="A25" s="2" t="str">
        <f>IF(C25="","",VLOOKUP(C25,[1]ISO辞書!A:C,2,FALSE))</f>
        <v>NPL</v>
      </c>
      <c r="B25" s="3" t="str">
        <f>IF(C25="","",VLOOKUP(C25,[1]ISO辞書!A:C,3,FALSE))</f>
        <v>Nepal</v>
      </c>
      <c r="C25" t="s">
        <v>76</v>
      </c>
      <c r="D25" s="7" t="s">
        <v>77</v>
      </c>
      <c r="E25" t="s">
        <v>78</v>
      </c>
      <c r="F25" t="s">
        <v>79</v>
      </c>
      <c r="J25" s="2" t="str">
        <f>IF(G25="","",VLOOKUP(G25,[1]ISO辞書!A:B,2,FALSE))</f>
        <v/>
      </c>
      <c r="K25" s="2" t="str">
        <f>IF(H25="","",VLOOKUP(H25,[1]ISO辞書!A:B,2,FALSE))</f>
        <v/>
      </c>
      <c r="L25" s="2" t="str">
        <f>IF(I25="","",VLOOKUP(I25,[1]ISO辞書!A:B,2,FALSE))</f>
        <v/>
      </c>
      <c r="M25" s="3" t="str">
        <f t="shared" si="0"/>
        <v/>
      </c>
      <c r="N25" t="s">
        <v>80</v>
      </c>
      <c r="O25" t="s">
        <v>80</v>
      </c>
      <c r="P25" s="1">
        <v>46108</v>
      </c>
      <c r="Q25" t="s">
        <v>26</v>
      </c>
      <c r="R25" t="s">
        <v>81</v>
      </c>
      <c r="S25">
        <v>2</v>
      </c>
    </row>
    <row r="26" spans="1:19" hidden="1">
      <c r="A26" s="2" t="str">
        <f>IF(C26="","",VLOOKUP(C26,[1]ISO辞書!A:C,2,FALSE))</f>
        <v>PRK</v>
      </c>
      <c r="B26" s="3" t="str">
        <f>IF(C26="","",VLOOKUP(C26,[1]ISO辞書!A:C,3,FALSE))</f>
        <v>North Korea</v>
      </c>
      <c r="C26" t="s">
        <v>86</v>
      </c>
      <c r="D26" s="7" t="s">
        <v>87</v>
      </c>
      <c r="E26" t="s">
        <v>88</v>
      </c>
      <c r="F26" t="s">
        <v>24</v>
      </c>
      <c r="G26" t="s">
        <v>89</v>
      </c>
      <c r="J26" s="2" t="str">
        <f>IF(G26="","",VLOOKUP(G26,[1]ISO辞書!A:B,2,FALSE))</f>
        <v>BLR</v>
      </c>
      <c r="K26" s="2" t="str">
        <f>IF(H26="","",VLOOKUP(H26,[1]ISO辞書!A:B,2,FALSE))</f>
        <v/>
      </c>
      <c r="L26" s="2" t="str">
        <f>IF(I26="","",VLOOKUP(I26,[1]ISO辞書!A:B,2,FALSE))</f>
        <v/>
      </c>
      <c r="M26" s="3" t="str">
        <f t="shared" si="0"/>
        <v>BLR</v>
      </c>
      <c r="N26" t="s">
        <v>24</v>
      </c>
      <c r="O26" t="s">
        <v>53</v>
      </c>
      <c r="P26" s="1">
        <v>46108</v>
      </c>
      <c r="Q26" t="s">
        <v>26</v>
      </c>
      <c r="R26" t="s">
        <v>90</v>
      </c>
      <c r="S26">
        <v>5</v>
      </c>
    </row>
    <row r="27" spans="1:19" hidden="1">
      <c r="A27" s="2" t="str">
        <f>IF(C27="","",VLOOKUP(C27,[1]ISO辞書!A:C,2,FALSE))</f>
        <v>UKR</v>
      </c>
      <c r="B27" s="3" t="str">
        <f>IF(C27="","",VLOOKUP(C27,[1]ISO辞書!A:C,3,FALSE))</f>
        <v>Ukraine</v>
      </c>
      <c r="C27" t="s">
        <v>109</v>
      </c>
      <c r="D27" s="7" t="s">
        <v>110</v>
      </c>
      <c r="E27" t="s">
        <v>152</v>
      </c>
      <c r="F27" t="s">
        <v>24</v>
      </c>
      <c r="G27" t="s">
        <v>111</v>
      </c>
      <c r="J27" s="2" t="str">
        <f>IF(G27="","",VLOOKUP(G27,[1]ISO辞書!A:B,2,FALSE))</f>
        <v>SAU</v>
      </c>
      <c r="K27" s="2" t="str">
        <f>IF(H27="","",VLOOKUP(H27,[1]ISO辞書!A:B,2,FALSE))</f>
        <v/>
      </c>
      <c r="L27" s="2" t="str">
        <f>IF(I27="","",VLOOKUP(I27,[1]ISO辞書!A:B,2,FALSE))</f>
        <v/>
      </c>
      <c r="M27" s="3" t="str">
        <f t="shared" si="0"/>
        <v>SAU</v>
      </c>
      <c r="N27" t="s">
        <v>24</v>
      </c>
      <c r="O27" t="s">
        <v>74</v>
      </c>
      <c r="P27" s="1">
        <v>46108</v>
      </c>
      <c r="Q27" t="s">
        <v>26</v>
      </c>
      <c r="R27" t="s">
        <v>112</v>
      </c>
      <c r="S27">
        <v>5</v>
      </c>
    </row>
    <row r="28" spans="1:19" hidden="1">
      <c r="A28" s="2" t="str">
        <f>IF(C28="","",VLOOKUP(C28,[1]ISO辞書!A:C,2,FALSE))</f>
        <v>COD</v>
      </c>
      <c r="B28" s="3" t="str">
        <f>IF(C28="","",VLOOKUP(C28,[1]ISO辞書!A:C,3,FALSE))</f>
        <v>Democratic Republic of the Congo</v>
      </c>
      <c r="C28" t="s">
        <v>139</v>
      </c>
      <c r="D28" s="7" t="s">
        <v>140</v>
      </c>
      <c r="E28" t="s">
        <v>141</v>
      </c>
      <c r="F28" t="s">
        <v>24</v>
      </c>
      <c r="G28" t="s">
        <v>71</v>
      </c>
      <c r="J28" s="2" t="str">
        <f>IF(G28="","",VLOOKUP(G28,[1]ISO辞書!A:B,2,FALSE))</f>
        <v>CHN</v>
      </c>
      <c r="K28" s="2" t="str">
        <f>IF(H28="","",VLOOKUP(H28,[1]ISO辞書!A:B,2,FALSE))</f>
        <v/>
      </c>
      <c r="L28" s="2" t="str">
        <f>IF(I28="","",VLOOKUP(I28,[1]ISO辞書!A:B,2,FALSE))</f>
        <v/>
      </c>
      <c r="M28" s="3" t="str">
        <f t="shared" si="0"/>
        <v>CHN</v>
      </c>
      <c r="N28" t="s">
        <v>24</v>
      </c>
      <c r="O28" t="s">
        <v>40</v>
      </c>
      <c r="P28" s="1">
        <v>46108</v>
      </c>
      <c r="Q28" t="s">
        <v>26</v>
      </c>
      <c r="R28" t="s">
        <v>142</v>
      </c>
      <c r="S28">
        <v>4</v>
      </c>
    </row>
    <row r="29" spans="1:19" hidden="1">
      <c r="A29" s="2" t="str">
        <f>IF(C29="","",VLOOKUP(C29,[1]ISO辞書!A:C,2,FALSE))</f>
        <v>CHN</v>
      </c>
      <c r="B29" s="3" t="str">
        <f>IF(C29="","",VLOOKUP(C29,[1]ISO辞書!A:C,3,FALSE))</f>
        <v>China</v>
      </c>
      <c r="C29" t="s">
        <v>71</v>
      </c>
      <c r="D29" s="7" t="s">
        <v>72</v>
      </c>
      <c r="E29" t="s">
        <v>151</v>
      </c>
      <c r="F29" t="s">
        <v>24</v>
      </c>
      <c r="G29" t="s">
        <v>73</v>
      </c>
      <c r="J29" s="2" t="str">
        <f>IF(G29="","",VLOOKUP(G29,[1]ISO辞書!A:B,2,FALSE))</f>
        <v>PHL</v>
      </c>
      <c r="K29" s="2" t="str">
        <f>IF(H29="","",VLOOKUP(H29,[1]ISO辞書!A:B,2,FALSE))</f>
        <v/>
      </c>
      <c r="L29" s="2" t="str">
        <f>IF(I29="","",VLOOKUP(I29,[1]ISO辞書!A:B,2,FALSE))</f>
        <v/>
      </c>
      <c r="M29" s="3" t="str">
        <f t="shared" si="0"/>
        <v>PHL</v>
      </c>
      <c r="N29" t="s">
        <v>24</v>
      </c>
      <c r="O29" t="s">
        <v>74</v>
      </c>
      <c r="P29" s="1">
        <v>46109</v>
      </c>
      <c r="Q29" t="s">
        <v>26</v>
      </c>
      <c r="R29" t="s">
        <v>75</v>
      </c>
      <c r="S29">
        <v>4</v>
      </c>
    </row>
    <row r="30" spans="1:19" hidden="1">
      <c r="A30" s="2" t="str">
        <f>IF(C30="","",VLOOKUP(C30,[1]ISO辞書!A:C,2,FALSE))</f>
        <v>IDN</v>
      </c>
      <c r="B30" s="3" t="str">
        <f>IF(C30="","",VLOOKUP(C30,[1]ISO辞書!A:C,3,FALSE))</f>
        <v>Indonesia</v>
      </c>
      <c r="C30" t="s">
        <v>82</v>
      </c>
      <c r="D30" s="7" t="s">
        <v>83</v>
      </c>
      <c r="E30" t="s">
        <v>84</v>
      </c>
      <c r="F30" t="s">
        <v>79</v>
      </c>
      <c r="J30" s="2" t="str">
        <f>IF(G30="","",VLOOKUP(G30,[1]ISO辞書!A:B,2,FALSE))</f>
        <v/>
      </c>
      <c r="K30" s="2" t="str">
        <f>IF(H30="","",VLOOKUP(H30,[1]ISO辞書!A:B,2,FALSE))</f>
        <v/>
      </c>
      <c r="L30" s="2" t="str">
        <f>IF(I30="","",VLOOKUP(I30,[1]ISO辞書!A:B,2,FALSE))</f>
        <v/>
      </c>
      <c r="M30" s="3" t="str">
        <f t="shared" si="0"/>
        <v/>
      </c>
      <c r="N30" t="s">
        <v>80</v>
      </c>
      <c r="O30" t="s">
        <v>80</v>
      </c>
      <c r="P30" s="1">
        <v>46109</v>
      </c>
      <c r="Q30" t="s">
        <v>26</v>
      </c>
      <c r="R30" t="s">
        <v>85</v>
      </c>
      <c r="S30">
        <v>3</v>
      </c>
    </row>
    <row r="31" spans="1:19" hidden="1">
      <c r="A31" s="2" t="str">
        <f>IF(C31="","",VLOOKUP(C31,[1]ISO辞書!A:C,2,FALSE))</f>
        <v>UKR</v>
      </c>
      <c r="B31" s="3" t="str">
        <f>IF(C31="","",VLOOKUP(C31,[1]ISO辞書!A:C,3,FALSE))</f>
        <v>Ukraine</v>
      </c>
      <c r="C31" t="s">
        <v>109</v>
      </c>
      <c r="D31" s="7" t="s">
        <v>126</v>
      </c>
      <c r="E31" t="s">
        <v>127</v>
      </c>
      <c r="F31" t="s">
        <v>24</v>
      </c>
      <c r="G31" t="s">
        <v>128</v>
      </c>
      <c r="H31" t="s">
        <v>129</v>
      </c>
      <c r="J31" s="2" t="str">
        <f>IF(G31="","",VLOOKUP(G31,[1]ISO辞書!A:B,2,FALSE))</f>
        <v>ARE</v>
      </c>
      <c r="K31" s="2" t="str">
        <f>IF(H31="","",VLOOKUP(H31,[1]ISO辞書!A:B,2,FALSE))</f>
        <v>QAT</v>
      </c>
      <c r="L31" s="2" t="str">
        <f>IF(I31="","",VLOOKUP(I31,[1]ISO辞書!A:B,2,FALSE))</f>
        <v/>
      </c>
      <c r="M31" s="3" t="str">
        <f t="shared" si="0"/>
        <v>ARE;QAT</v>
      </c>
      <c r="N31" t="s">
        <v>24</v>
      </c>
      <c r="O31" t="s">
        <v>74</v>
      </c>
      <c r="P31" s="1">
        <v>46109</v>
      </c>
      <c r="Q31" t="s">
        <v>26</v>
      </c>
      <c r="R31" t="s">
        <v>130</v>
      </c>
      <c r="S31">
        <v>5</v>
      </c>
    </row>
    <row r="32" spans="1:19" hidden="1">
      <c r="A32" s="2" t="str">
        <f>IF(C32="","",VLOOKUP(C32,[1]ISO辞書!A:C,2,FALSE))</f>
        <v>NPL</v>
      </c>
      <c r="B32" s="3" t="str">
        <f>IF(C32="","",VLOOKUP(C32,[1]ISO辞書!A:C,3,FALSE))</f>
        <v>Nepal</v>
      </c>
      <c r="C32" t="s">
        <v>217</v>
      </c>
      <c r="D32" s="7" t="s">
        <v>218</v>
      </c>
      <c r="E32" t="s">
        <v>219</v>
      </c>
      <c r="F32" t="s">
        <v>170</v>
      </c>
      <c r="J32" s="2" t="str">
        <f>IF(G32="","",VLOOKUP(G32,[1]ISO辞書!A:B,2,FALSE))</f>
        <v/>
      </c>
      <c r="K32" s="2" t="str">
        <f>IF(H32="","",VLOOKUP(H32,[1]ISO辞書!A:B,2,FALSE))</f>
        <v/>
      </c>
      <c r="L32" s="2" t="str">
        <f>IF(I32="","",VLOOKUP(I32,[1]ISO辞書!A:B,2,FALSE))</f>
        <v/>
      </c>
      <c r="M32" s="3" t="str">
        <f t="shared" si="0"/>
        <v/>
      </c>
      <c r="N32" t="s">
        <v>165</v>
      </c>
      <c r="O32" t="s">
        <v>79</v>
      </c>
      <c r="P32" s="1">
        <v>46109</v>
      </c>
      <c r="Q32" t="s">
        <v>159</v>
      </c>
      <c r="R32" t="s">
        <v>220</v>
      </c>
      <c r="S32">
        <v>2</v>
      </c>
    </row>
    <row r="33" spans="1:19" hidden="1">
      <c r="A33" s="2" t="str">
        <f>IF(C33="","",VLOOKUP(C33,[1]ISO辞書!A:C,2,FALSE))</f>
        <v>YEM</v>
      </c>
      <c r="B33" s="3" t="str">
        <f>IF(C33="","",VLOOKUP(C33,[1]ISO辞書!A:C,3,FALSE))</f>
        <v>Yemen</v>
      </c>
      <c r="C33" t="s">
        <v>63</v>
      </c>
      <c r="D33" s="7" t="s">
        <v>64</v>
      </c>
      <c r="E33" t="s">
        <v>65</v>
      </c>
      <c r="F33" t="s">
        <v>22</v>
      </c>
      <c r="G33" t="s">
        <v>66</v>
      </c>
      <c r="H33" t="s">
        <v>28</v>
      </c>
      <c r="I33" t="s">
        <v>67</v>
      </c>
      <c r="J33" s="2" t="str">
        <f>IF(G33="","",VLOOKUP(G33,[1]ISO辞書!A:B,2,FALSE))</f>
        <v>IRN</v>
      </c>
      <c r="K33" s="2" t="str">
        <f>IF(H33="","",VLOOKUP(H33,[1]ISO辞書!A:B,2,FALSE))</f>
        <v>USA</v>
      </c>
      <c r="L33" s="2" t="str">
        <f>IF(I33="","",VLOOKUP(I33,[1]ISO辞書!A:B,2,FALSE))</f>
        <v>ISR</v>
      </c>
      <c r="M33" s="3" t="str">
        <f t="shared" si="0"/>
        <v>IRN;USA;ISR</v>
      </c>
      <c r="N33" t="s">
        <v>68</v>
      </c>
      <c r="O33" t="s">
        <v>69</v>
      </c>
      <c r="P33" s="1">
        <v>46110</v>
      </c>
      <c r="Q33" t="s">
        <v>26</v>
      </c>
      <c r="R33" t="s">
        <v>70</v>
      </c>
      <c r="S33">
        <v>5</v>
      </c>
    </row>
    <row r="34" spans="1:19" hidden="1">
      <c r="A34" s="2" t="str">
        <f>IF(C34="","",VLOOKUP(C34,[1]ISO辞書!A:C,2,FALSE))</f>
        <v>UKR</v>
      </c>
      <c r="B34" s="3" t="str">
        <f>IF(C34="","",VLOOKUP(C34,[1]ISO辞書!A:C,3,FALSE))</f>
        <v>Ukraine</v>
      </c>
      <c r="C34" t="s">
        <v>202</v>
      </c>
      <c r="D34" s="7" t="s">
        <v>203</v>
      </c>
      <c r="E34" t="s">
        <v>204</v>
      </c>
      <c r="F34" t="s">
        <v>196</v>
      </c>
      <c r="G34" t="s">
        <v>205</v>
      </c>
      <c r="J34" s="2" t="str">
        <f>IF(G34="","",VLOOKUP(G34,[1]ISO辞書!A:B,2,FALSE))</f>
        <v>JOR</v>
      </c>
      <c r="K34" s="2" t="str">
        <f>IF(H34="","",VLOOKUP(H34,[1]ISO辞書!A:B,2,FALSE))</f>
        <v/>
      </c>
      <c r="L34" s="2" t="str">
        <f>IF(I34="","",VLOOKUP(I34,[1]ISO辞書!A:B,2,FALSE))</f>
        <v/>
      </c>
      <c r="M34" s="3" t="str">
        <f t="shared" si="0"/>
        <v>JOR</v>
      </c>
      <c r="N34" t="s">
        <v>178</v>
      </c>
      <c r="O34" t="s">
        <v>53</v>
      </c>
      <c r="P34" s="1">
        <v>46110</v>
      </c>
      <c r="Q34" t="s">
        <v>159</v>
      </c>
      <c r="R34" t="s">
        <v>206</v>
      </c>
      <c r="S34">
        <v>2</v>
      </c>
    </row>
    <row r="35" spans="1:19" hidden="1">
      <c r="A35" s="2" t="str">
        <f>IF(C35="","",VLOOKUP(C35,[1]ISO辞書!A:C,2,FALSE))</f>
        <v>EGY</v>
      </c>
      <c r="B35" s="3" t="str">
        <f>IF(C35="","",VLOOKUP(C35,[1]ISO辞書!A:C,3,FALSE))</f>
        <v>Egypt</v>
      </c>
      <c r="C35" t="s">
        <v>259</v>
      </c>
      <c r="D35" s="7" t="s">
        <v>260</v>
      </c>
      <c r="F35" t="s">
        <v>196</v>
      </c>
      <c r="J35" s="2" t="str">
        <f>IF(G35="","",VLOOKUP(G35,[1]ISO辞書!A:B,2,FALSE))</f>
        <v/>
      </c>
      <c r="K35" s="2" t="str">
        <f>IF(H35="","",VLOOKUP(H35,[1]ISO辞書!A:B,2,FALSE))</f>
        <v/>
      </c>
      <c r="L35" s="2" t="str">
        <f>IF(I35="","",VLOOKUP(I35,[1]ISO辞書!A:B,2,FALSE))</f>
        <v/>
      </c>
      <c r="M35" s="3" t="str">
        <f t="shared" si="0"/>
        <v/>
      </c>
      <c r="N35" t="s">
        <v>257</v>
      </c>
      <c r="O35" t="s">
        <v>53</v>
      </c>
      <c r="P35" s="1">
        <v>46110</v>
      </c>
      <c r="Q35" t="s">
        <v>159</v>
      </c>
      <c r="R35" t="s">
        <v>261</v>
      </c>
      <c r="S35">
        <v>3</v>
      </c>
    </row>
    <row r="36" spans="1:19" hidden="1">
      <c r="A36" s="2" t="str">
        <f>IF(C36="","",VLOOKUP(C36,[1]ISO辞書!A:C,2,FALSE))</f>
        <v>CUB</v>
      </c>
      <c r="B36" s="3" t="str">
        <f>IF(C36="","",VLOOKUP(C36,[1]ISO辞書!A:C,3,FALSE))</f>
        <v>Cuba</v>
      </c>
      <c r="C36" t="s">
        <v>172</v>
      </c>
      <c r="D36" s="7" t="s">
        <v>173</v>
      </c>
      <c r="E36" t="s">
        <v>174</v>
      </c>
      <c r="F36" t="s">
        <v>175</v>
      </c>
      <c r="G36" t="s">
        <v>176</v>
      </c>
      <c r="H36" t="s">
        <v>177</v>
      </c>
      <c r="J36" s="2" t="str">
        <f>IF(G36="","",VLOOKUP(G36,[1]ISO辞書!A:B,2,FALSE))</f>
        <v>RUS</v>
      </c>
      <c r="K36" s="2" t="str">
        <f>IF(H36="","",VLOOKUP(H36,[1]ISO辞書!A:B,2,FALSE))</f>
        <v>USA</v>
      </c>
      <c r="L36" s="2" t="str">
        <f>IF(I36="","",VLOOKUP(I36,[1]ISO辞書!A:B,2,FALSE))</f>
        <v/>
      </c>
      <c r="M36" s="3" t="str">
        <f t="shared" si="0"/>
        <v>RUS;USA</v>
      </c>
      <c r="N36" t="s">
        <v>178</v>
      </c>
      <c r="O36" t="s">
        <v>179</v>
      </c>
      <c r="P36" s="1">
        <v>46111</v>
      </c>
      <c r="Q36" t="s">
        <v>180</v>
      </c>
      <c r="R36" s="5" t="s">
        <v>181</v>
      </c>
      <c r="S36">
        <v>3</v>
      </c>
    </row>
    <row r="37" spans="1:19" hidden="1">
      <c r="A37" s="2" t="str">
        <f>IF(C37="","",VLOOKUP(C37,[1]ISO辞書!A:C,2,FALSE))</f>
        <v>LBN</v>
      </c>
      <c r="B37" s="3" t="str">
        <f>IF(C37="","",VLOOKUP(C37,[1]ISO辞書!A:C,3,FALSE))</f>
        <v>Lebanon</v>
      </c>
      <c r="C37" t="s">
        <v>157</v>
      </c>
      <c r="D37" s="7" t="s">
        <v>190</v>
      </c>
      <c r="E37" t="s">
        <v>191</v>
      </c>
      <c r="F37" t="s">
        <v>156</v>
      </c>
      <c r="G37" t="s">
        <v>153</v>
      </c>
      <c r="J37" s="2" t="str">
        <f>IF(G37="","",VLOOKUP(G37,[1]ISO辞書!A:B,2,FALSE))</f>
        <v>ISR</v>
      </c>
      <c r="K37" s="2" t="str">
        <f>IF(H37="","",VLOOKUP(H37,[1]ISO辞書!A:B,2,FALSE))</f>
        <v/>
      </c>
      <c r="L37" s="2" t="str">
        <f>IF(I37="","",VLOOKUP(I37,[1]ISO辞書!A:B,2,FALSE))</f>
        <v/>
      </c>
      <c r="M37" s="3" t="str">
        <f t="shared" si="0"/>
        <v>ISR</v>
      </c>
      <c r="N37" t="s">
        <v>158</v>
      </c>
      <c r="O37" t="s">
        <v>69</v>
      </c>
      <c r="P37" s="1">
        <v>46111</v>
      </c>
      <c r="Q37" t="s">
        <v>159</v>
      </c>
      <c r="R37" t="s">
        <v>192</v>
      </c>
      <c r="S37">
        <v>2</v>
      </c>
    </row>
    <row r="38" spans="1:19" hidden="1">
      <c r="A38" s="2" t="str">
        <f>IF(C38="","",VLOOKUP(C38,[1]ISO辞書!A:C,2,FALSE))</f>
        <v>RUS</v>
      </c>
      <c r="B38" s="3" t="str">
        <f>IF(C38="","",VLOOKUP(C38,[1]ISO辞書!A:C,3,FALSE))</f>
        <v>Russian Federation</v>
      </c>
      <c r="C38" t="s">
        <v>176</v>
      </c>
      <c r="D38" s="7" t="s">
        <v>207</v>
      </c>
      <c r="E38" t="s">
        <v>208</v>
      </c>
      <c r="F38" t="s">
        <v>196</v>
      </c>
      <c r="G38" t="s">
        <v>193</v>
      </c>
      <c r="J38" s="2" t="str">
        <f>IF(G38="","",VLOOKUP(G38,[1]ISO辞書!A:B,2,FALSE))</f>
        <v>GBR</v>
      </c>
      <c r="K38" s="2" t="str">
        <f>IF(H38="","",VLOOKUP(H38,[1]ISO辞書!A:B,2,FALSE))</f>
        <v/>
      </c>
      <c r="L38" s="2" t="str">
        <f>IF(I38="","",VLOOKUP(I38,[1]ISO辞書!A:B,2,FALSE))</f>
        <v/>
      </c>
      <c r="M38" s="3" t="str">
        <f t="shared" si="0"/>
        <v>GBR</v>
      </c>
      <c r="N38" t="s">
        <v>178</v>
      </c>
      <c r="O38" t="s">
        <v>53</v>
      </c>
      <c r="P38" s="1">
        <v>46111</v>
      </c>
      <c r="Q38" t="s">
        <v>159</v>
      </c>
      <c r="R38" t="s">
        <v>209</v>
      </c>
      <c r="S38">
        <v>2</v>
      </c>
    </row>
    <row r="39" spans="1:19" hidden="1">
      <c r="A39" s="2" t="str">
        <f>IF(C39="","",VLOOKUP(C39,[1]ISO辞書!A:C,2,FALSE))</f>
        <v>AFG</v>
      </c>
      <c r="B39" s="3" t="str">
        <f>IF(C39="","",VLOOKUP(C39,[1]ISO辞書!A:C,3,FALSE))</f>
        <v>Afghanistan</v>
      </c>
      <c r="C39" t="s">
        <v>221</v>
      </c>
      <c r="D39" s="7" t="s">
        <v>222</v>
      </c>
      <c r="E39" t="s">
        <v>223</v>
      </c>
      <c r="F39" t="s">
        <v>224</v>
      </c>
      <c r="G39" t="s">
        <v>225</v>
      </c>
      <c r="J39" s="2" t="str">
        <f>IF(G39="","",VLOOKUP(G39,[1]ISO辞書!A:B,2,FALSE))</f>
        <v>PAK</v>
      </c>
      <c r="K39" s="2" t="str">
        <f>IF(H39="","",VLOOKUP(H39,[1]ISO辞書!A:B,2,FALSE))</f>
        <v/>
      </c>
      <c r="L39" s="2" t="str">
        <f>IF(I39="","",VLOOKUP(I39,[1]ISO辞書!A:B,2,FALSE))</f>
        <v/>
      </c>
      <c r="M39" s="3" t="str">
        <f t="shared" si="0"/>
        <v>PAK</v>
      </c>
      <c r="N39" t="s">
        <v>226</v>
      </c>
      <c r="O39" t="s">
        <v>227</v>
      </c>
      <c r="P39" s="1">
        <v>46111</v>
      </c>
      <c r="Q39" t="s">
        <v>159</v>
      </c>
      <c r="R39" t="s">
        <v>228</v>
      </c>
      <c r="S39">
        <v>1</v>
      </c>
    </row>
    <row r="40" spans="1:19" hidden="1">
      <c r="A40" s="2" t="str">
        <f>IF(C40="","",VLOOKUP(C40,[1]ISO辞書!A:C,2,FALSE))</f>
        <v>XKK</v>
      </c>
      <c r="B40" s="3" t="str">
        <f>IF(C40="","",VLOOKUP(C40,[1]ISO辞書!A:C,3,FALSE))</f>
        <v>Kosovo</v>
      </c>
      <c r="C40" t="s">
        <v>229</v>
      </c>
      <c r="D40" s="7" t="s">
        <v>230</v>
      </c>
      <c r="E40" t="s">
        <v>231</v>
      </c>
      <c r="F40" t="s">
        <v>156</v>
      </c>
      <c r="G40" t="s">
        <v>177</v>
      </c>
      <c r="H40" t="s">
        <v>153</v>
      </c>
      <c r="I40" t="s">
        <v>232</v>
      </c>
      <c r="J40" s="2" t="str">
        <f>IF(G40="","",VLOOKUP(G40,[1]ISO辞書!A:B,2,FALSE))</f>
        <v>USA</v>
      </c>
      <c r="K40" s="2" t="str">
        <f>IF(H40="","",VLOOKUP(H40,[1]ISO辞書!A:B,2,FALSE))</f>
        <v>ISR</v>
      </c>
      <c r="L40" s="2" t="str">
        <f>IF(I40="","",VLOOKUP(I40,[1]ISO辞書!A:B,2,FALSE))</f>
        <v>PSE</v>
      </c>
      <c r="M40" s="3" t="str">
        <f t="shared" si="0"/>
        <v>USA;ISR;PSE</v>
      </c>
      <c r="N40" t="s">
        <v>178</v>
      </c>
      <c r="O40" t="s">
        <v>69</v>
      </c>
      <c r="P40" s="1">
        <v>46111</v>
      </c>
      <c r="Q40" t="s">
        <v>159</v>
      </c>
      <c r="R40" t="s">
        <v>233</v>
      </c>
      <c r="S40">
        <v>2</v>
      </c>
    </row>
    <row r="41" spans="1:19" hidden="1">
      <c r="A41" s="2" t="str">
        <f>IF(C41="","",VLOOKUP(C41,[1]ISO辞書!A:C,2,FALSE))</f>
        <v>PAK</v>
      </c>
      <c r="B41" s="3" t="str">
        <f>IF(C41="","",VLOOKUP(C41,[1]ISO辞書!A:C,3,FALSE))</f>
        <v>Pakistan</v>
      </c>
      <c r="C41" t="s">
        <v>225</v>
      </c>
      <c r="D41" s="7" t="s">
        <v>234</v>
      </c>
      <c r="E41" t="s">
        <v>235</v>
      </c>
      <c r="F41" t="s">
        <v>156</v>
      </c>
      <c r="G41" t="s">
        <v>221</v>
      </c>
      <c r="J41" s="2" t="str">
        <f>IF(G41="","",VLOOKUP(G41,[1]ISO辞書!A:B,2,FALSE))</f>
        <v>AFG</v>
      </c>
      <c r="K41" s="2" t="str">
        <f>IF(H41="","",VLOOKUP(H41,[1]ISO辞書!A:B,2,FALSE))</f>
        <v/>
      </c>
      <c r="L41" s="2" t="str">
        <f>IF(I41="","",VLOOKUP(I41,[1]ISO辞書!A:B,2,FALSE))</f>
        <v/>
      </c>
      <c r="M41" s="3" t="str">
        <f t="shared" si="0"/>
        <v>AFG</v>
      </c>
      <c r="N41" t="s">
        <v>158</v>
      </c>
      <c r="O41" t="s">
        <v>69</v>
      </c>
      <c r="P41" s="1">
        <v>46111</v>
      </c>
      <c r="Q41" t="s">
        <v>159</v>
      </c>
      <c r="R41" t="s">
        <v>236</v>
      </c>
      <c r="S41">
        <v>4</v>
      </c>
    </row>
    <row r="42" spans="1:19" hidden="1">
      <c r="A42" s="2" t="str">
        <f>IF(C42="","",VLOOKUP(C42,[1]ISO辞書!A:C,2,FALSE))</f>
        <v>USA</v>
      </c>
      <c r="B42" s="3" t="str">
        <f>IF(C42="","",VLOOKUP(C42,[1]ISO辞書!A:C,3,FALSE))</f>
        <v>America</v>
      </c>
      <c r="C42" t="s">
        <v>177</v>
      </c>
      <c r="D42" s="7" t="s">
        <v>254</v>
      </c>
      <c r="E42" t="s">
        <v>255</v>
      </c>
      <c r="F42" t="s">
        <v>196</v>
      </c>
      <c r="G42" t="s">
        <v>256</v>
      </c>
      <c r="J42" s="2" t="str">
        <f>IF(G42="","",VLOOKUP(G42,[1]ISO辞書!A:B,2,FALSE))</f>
        <v>VEN</v>
      </c>
      <c r="K42" s="2" t="str">
        <f>IF(H42="","",VLOOKUP(H42,[1]ISO辞書!A:B,2,FALSE))</f>
        <v/>
      </c>
      <c r="L42" s="2" t="str">
        <f>IF(I42="","",VLOOKUP(I42,[1]ISO辞書!A:B,2,FALSE))</f>
        <v/>
      </c>
      <c r="M42" s="3" t="str">
        <f t="shared" si="0"/>
        <v>VEN</v>
      </c>
      <c r="N42" t="s">
        <v>257</v>
      </c>
      <c r="O42" t="s">
        <v>53</v>
      </c>
      <c r="P42" s="1">
        <v>46111</v>
      </c>
      <c r="Q42" t="s">
        <v>159</v>
      </c>
      <c r="R42" t="s">
        <v>258</v>
      </c>
      <c r="S42">
        <v>3</v>
      </c>
    </row>
    <row r="43" spans="1:19" hidden="1">
      <c r="A43" s="2" t="str">
        <f>IF(C43="","",VLOOKUP(C43,[1]ISO辞書!A:C,2,FALSE))</f>
        <v>EGY</v>
      </c>
      <c r="B43" s="3" t="str">
        <f>IF(C43="","",VLOOKUP(C43,[1]ISO辞書!A:C,3,FALSE))</f>
        <v>Egypt</v>
      </c>
      <c r="C43" t="s">
        <v>259</v>
      </c>
      <c r="D43" s="7" t="s">
        <v>262</v>
      </c>
      <c r="F43" t="s">
        <v>196</v>
      </c>
      <c r="G43" t="s">
        <v>263</v>
      </c>
      <c r="J43" s="2" t="str">
        <f>IF(G43="","",VLOOKUP(G43,[1]ISO辞書!A:B,2,FALSE))</f>
        <v>CYP</v>
      </c>
      <c r="K43" s="2" t="str">
        <f>IF(H43="","",VLOOKUP(H43,[1]ISO辞書!A:B,2,FALSE))</f>
        <v/>
      </c>
      <c r="L43" s="2" t="str">
        <f>IF(I43="","",VLOOKUP(I43,[1]ISO辞書!A:B,2,FALSE))</f>
        <v/>
      </c>
      <c r="M43" s="3" t="str">
        <f t="shared" si="0"/>
        <v>CYP</v>
      </c>
      <c r="N43" t="s">
        <v>264</v>
      </c>
      <c r="O43" t="s">
        <v>179</v>
      </c>
      <c r="P43" s="1">
        <v>46111</v>
      </c>
      <c r="Q43" t="s">
        <v>159</v>
      </c>
      <c r="R43" t="s">
        <v>265</v>
      </c>
      <c r="S43">
        <v>3</v>
      </c>
    </row>
    <row r="44" spans="1:19" hidden="1">
      <c r="A44" s="2" t="str">
        <f>IF(C44="","",VLOOKUP(C44,[1]ISO辞書!A:C,2,FALSE))</f>
        <v>SOM</v>
      </c>
      <c r="B44" s="3" t="str">
        <f>IF(C44="","",VLOOKUP(C44,[1]ISO辞書!A:C,3,FALSE))</f>
        <v>Somalia</v>
      </c>
      <c r="C44" t="s">
        <v>266</v>
      </c>
      <c r="D44" s="7" t="s">
        <v>267</v>
      </c>
      <c r="E44" t="s">
        <v>268</v>
      </c>
      <c r="F44" t="s">
        <v>170</v>
      </c>
      <c r="J44" s="2" t="str">
        <f>IF(G44="","",VLOOKUP(G44,[1]ISO辞書!A:B,2,FALSE))</f>
        <v/>
      </c>
      <c r="K44" s="2" t="str">
        <f>IF(H44="","",VLOOKUP(H44,[1]ISO辞書!A:B,2,FALSE))</f>
        <v/>
      </c>
      <c r="L44" s="2" t="str">
        <f>IF(I44="","",VLOOKUP(I44,[1]ISO辞書!A:B,2,FALSE))</f>
        <v/>
      </c>
      <c r="M44" s="3" t="str">
        <f t="shared" si="0"/>
        <v/>
      </c>
      <c r="N44" t="s">
        <v>165</v>
      </c>
      <c r="O44" t="s">
        <v>79</v>
      </c>
      <c r="P44" s="1">
        <v>46111</v>
      </c>
      <c r="Q44" t="s">
        <v>159</v>
      </c>
      <c r="R44" t="s">
        <v>269</v>
      </c>
      <c r="S44">
        <v>4</v>
      </c>
    </row>
    <row r="45" spans="1:19" hidden="1">
      <c r="A45" s="2" t="str">
        <f>IF(C45="","",VLOOKUP(C45,[1]ISO辞書!A:C,2,FALSE))</f>
        <v>IRN</v>
      </c>
      <c r="B45" s="3" t="str">
        <f>IF(C45="","",VLOOKUP(C45,[1]ISO辞書!A:C,3,FALSE))</f>
        <v>Iran</v>
      </c>
      <c r="C45" t="s">
        <v>188</v>
      </c>
      <c r="D45" s="7" t="s">
        <v>270</v>
      </c>
      <c r="E45" t="s">
        <v>271</v>
      </c>
      <c r="F45" t="s">
        <v>156</v>
      </c>
      <c r="G45" t="s">
        <v>153</v>
      </c>
      <c r="J45" s="2" t="str">
        <f>IF(G45="","",VLOOKUP(G45,[1]ISO辞書!A:B,2,FALSE))</f>
        <v>ISR</v>
      </c>
      <c r="K45" s="2" t="str">
        <f>IF(H45="","",VLOOKUP(H45,[1]ISO辞書!A:B,2,FALSE))</f>
        <v/>
      </c>
      <c r="L45" s="2" t="str">
        <f>IF(I45="","",VLOOKUP(I45,[1]ISO辞書!A:B,2,FALSE))</f>
        <v/>
      </c>
      <c r="M45" s="3" t="str">
        <f t="shared" si="0"/>
        <v>ISR</v>
      </c>
      <c r="N45" t="s">
        <v>158</v>
      </c>
      <c r="O45" t="s">
        <v>69</v>
      </c>
      <c r="P45" s="1">
        <v>46111</v>
      </c>
      <c r="Q45" t="s">
        <v>159</v>
      </c>
      <c r="R45" t="s">
        <v>272</v>
      </c>
      <c r="S45">
        <v>4</v>
      </c>
    </row>
    <row r="46" spans="1:19" hidden="1">
      <c r="A46" s="2" t="str">
        <f>IF(C46="","",VLOOKUP(C46,[1]ISO辞書!A:C,2,FALSE))</f>
        <v>PRY</v>
      </c>
      <c r="B46" s="3" t="str">
        <f>IF(C46="","",VLOOKUP(C46,[1]ISO辞書!A:C,3,FALSE))</f>
        <v>Paraguay</v>
      </c>
      <c r="C46" t="s">
        <v>182</v>
      </c>
      <c r="D46" s="7" t="s">
        <v>183</v>
      </c>
      <c r="E46" t="s">
        <v>184</v>
      </c>
      <c r="F46" t="s">
        <v>170</v>
      </c>
      <c r="J46" s="2" t="str">
        <f>IF(G46="","",VLOOKUP(G46,[1]ISO辞書!A:B,2,FALSE))</f>
        <v/>
      </c>
      <c r="K46" s="2" t="str">
        <f>IF(H46="","",VLOOKUP(H46,[1]ISO辞書!A:B,2,FALSE))</f>
        <v/>
      </c>
      <c r="L46" s="2" t="str">
        <f>IF(I46="","",VLOOKUP(I46,[1]ISO辞書!A:B,2,FALSE))</f>
        <v/>
      </c>
      <c r="M46" s="3" t="str">
        <f t="shared" si="0"/>
        <v/>
      </c>
      <c r="N46" t="s">
        <v>165</v>
      </c>
      <c r="O46" t="s">
        <v>79</v>
      </c>
      <c r="P46" s="1">
        <v>46112</v>
      </c>
      <c r="Q46" t="s">
        <v>180</v>
      </c>
      <c r="R46" s="5" t="s">
        <v>185</v>
      </c>
      <c r="S46">
        <v>1</v>
      </c>
    </row>
    <row r="47" spans="1:19" hidden="1">
      <c r="A47" s="2" t="str">
        <f>IF(C47="","",VLOOKUP(C47,[1]ISO辞書!A:C,2,FALSE))</f>
        <v>USA</v>
      </c>
      <c r="B47" s="3" t="str">
        <f>IF(C47="","",VLOOKUP(C47,[1]ISO辞書!A:C,3,FALSE))</f>
        <v>America</v>
      </c>
      <c r="C47" t="s">
        <v>177</v>
      </c>
      <c r="D47" s="7" t="s">
        <v>186</v>
      </c>
      <c r="E47" t="s">
        <v>187</v>
      </c>
      <c r="F47" t="s">
        <v>156</v>
      </c>
      <c r="G47" t="s">
        <v>188</v>
      </c>
      <c r="J47" s="2" t="str">
        <f>IF(G47="","",VLOOKUP(G47,[1]ISO辞書!A:B,2,FALSE))</f>
        <v>IRN</v>
      </c>
      <c r="K47" s="2" t="str">
        <f>IF(H47="","",VLOOKUP(H47,[1]ISO辞書!A:B,2,FALSE))</f>
        <v/>
      </c>
      <c r="L47" s="2" t="str">
        <f>IF(I47="","",VLOOKUP(I47,[1]ISO辞書!A:B,2,FALSE))</f>
        <v/>
      </c>
      <c r="M47" s="3" t="str">
        <f t="shared" si="0"/>
        <v>IRN</v>
      </c>
      <c r="N47" t="s">
        <v>158</v>
      </c>
      <c r="O47" t="s">
        <v>69</v>
      </c>
      <c r="P47" s="1">
        <v>46112</v>
      </c>
      <c r="Q47" t="s">
        <v>180</v>
      </c>
      <c r="R47" s="5" t="s">
        <v>189</v>
      </c>
      <c r="S47">
        <v>5</v>
      </c>
    </row>
    <row r="48" spans="1:19" hidden="1">
      <c r="A48" s="2" t="str">
        <f>IF(C48="","",VLOOKUP(C48,[1]ISO辞書!A:C,2,FALSE))</f>
        <v>GBR</v>
      </c>
      <c r="B48" s="3" t="str">
        <f>IF(C48="","",VLOOKUP(C48,[1]ISO辞書!A:C,3,FALSE))</f>
        <v>Britain</v>
      </c>
      <c r="C48" t="s">
        <v>193</v>
      </c>
      <c r="D48" s="7" t="s">
        <v>194</v>
      </c>
      <c r="E48" t="s">
        <v>195</v>
      </c>
      <c r="F48" t="s">
        <v>196</v>
      </c>
      <c r="G48" t="s">
        <v>197</v>
      </c>
      <c r="J48" s="2" t="str">
        <f>IF(G48="","",VLOOKUP(G48,[1]ISO辞書!A:B,2,FALSE))</f>
        <v>SYR</v>
      </c>
      <c r="K48" s="2" t="str">
        <f>IF(H48="","",VLOOKUP(H48,[1]ISO辞書!A:B,2,FALSE))</f>
        <v/>
      </c>
      <c r="L48" s="2" t="str">
        <f>IF(I48="","",VLOOKUP(I48,[1]ISO辞書!A:B,2,FALSE))</f>
        <v/>
      </c>
      <c r="M48" s="3" t="str">
        <f t="shared" si="0"/>
        <v>SYR</v>
      </c>
      <c r="N48" t="s">
        <v>178</v>
      </c>
      <c r="O48" t="s">
        <v>53</v>
      </c>
      <c r="P48" s="1">
        <v>46112</v>
      </c>
      <c r="Q48" t="s">
        <v>159</v>
      </c>
      <c r="R48" t="s">
        <v>198</v>
      </c>
      <c r="S48">
        <v>3</v>
      </c>
    </row>
    <row r="49" spans="1:19" hidden="1">
      <c r="A49" s="2" t="str">
        <f>IF(C49="","",VLOOKUP(C49,[1]ISO辞書!A:C,2,FALSE))</f>
        <v>ISR</v>
      </c>
      <c r="B49" s="3" t="str">
        <f>IF(C49="","",VLOOKUP(C49,[1]ISO辞書!A:C,3,FALSE))</f>
        <v>Israel</v>
      </c>
      <c r="C49" t="s">
        <v>153</v>
      </c>
      <c r="D49" s="7" t="s">
        <v>199</v>
      </c>
      <c r="E49" t="s">
        <v>200</v>
      </c>
      <c r="F49" t="s">
        <v>156</v>
      </c>
      <c r="G49" t="s">
        <v>157</v>
      </c>
      <c r="J49" s="2" t="str">
        <f>IF(G49="","",VLOOKUP(G49,[1]ISO辞書!A:B,2,FALSE))</f>
        <v>LBN</v>
      </c>
      <c r="K49" s="2" t="str">
        <f>IF(H49="","",VLOOKUP(H49,[1]ISO辞書!A:B,2,FALSE))</f>
        <v/>
      </c>
      <c r="L49" s="2" t="str">
        <f>IF(I49="","",VLOOKUP(I49,[1]ISO辞書!A:B,2,FALSE))</f>
        <v/>
      </c>
      <c r="M49" s="3" t="str">
        <f t="shared" si="0"/>
        <v>LBN</v>
      </c>
      <c r="N49" t="s">
        <v>158</v>
      </c>
      <c r="O49" t="s">
        <v>69</v>
      </c>
      <c r="P49" s="1">
        <v>46112</v>
      </c>
      <c r="Q49" t="s">
        <v>159</v>
      </c>
      <c r="R49" t="s">
        <v>201</v>
      </c>
      <c r="S49">
        <v>4</v>
      </c>
    </row>
    <row r="50" spans="1:19" hidden="1">
      <c r="A50" s="2" t="str">
        <f>IF(C50="","",VLOOKUP(C50,[1]ISO辞書!A:C,2,FALSE))</f>
        <v>ITA</v>
      </c>
      <c r="B50" s="3" t="str">
        <f>IF(C50="","",VLOOKUP(C50,[1]ISO辞書!A:C,3,FALSE))</f>
        <v>Italy</v>
      </c>
      <c r="C50" t="s">
        <v>167</v>
      </c>
      <c r="D50" s="7" t="s">
        <v>210</v>
      </c>
      <c r="E50" t="s">
        <v>211</v>
      </c>
      <c r="F50" t="s">
        <v>196</v>
      </c>
      <c r="G50" t="s">
        <v>177</v>
      </c>
      <c r="J50" s="2" t="str">
        <f>IF(G50="","",VLOOKUP(G50,[1]ISO辞書!A:B,2,FALSE))</f>
        <v>USA</v>
      </c>
      <c r="K50" s="2" t="str">
        <f>IF(H50="","",VLOOKUP(H50,[1]ISO辞書!A:B,2,FALSE))</f>
        <v/>
      </c>
      <c r="L50" s="2" t="str">
        <f>IF(I50="","",VLOOKUP(I50,[1]ISO辞書!A:B,2,FALSE))</f>
        <v/>
      </c>
      <c r="M50" s="3" t="str">
        <f t="shared" si="0"/>
        <v>USA</v>
      </c>
      <c r="N50" t="s">
        <v>178</v>
      </c>
      <c r="O50" t="s">
        <v>53</v>
      </c>
      <c r="P50" s="1">
        <v>46112</v>
      </c>
      <c r="Q50" t="s">
        <v>159</v>
      </c>
      <c r="R50" t="s">
        <v>212</v>
      </c>
      <c r="S50">
        <v>3</v>
      </c>
    </row>
    <row r="51" spans="1:19" hidden="1">
      <c r="A51" s="2" t="str">
        <f>IF(C51="","",VLOOKUP(C51,[1]ISO辞書!A:C,2,FALSE))</f>
        <v>FRA</v>
      </c>
      <c r="B51" s="3" t="str">
        <f>IF(C51="","",VLOOKUP(C51,[1]ISO辞書!A:C,3,FALSE))</f>
        <v>France</v>
      </c>
      <c r="C51" t="s">
        <v>213</v>
      </c>
      <c r="D51" s="7" t="s">
        <v>214</v>
      </c>
      <c r="E51" t="s">
        <v>215</v>
      </c>
      <c r="F51" t="s">
        <v>196</v>
      </c>
      <c r="G51" t="s">
        <v>153</v>
      </c>
      <c r="H51" t="s">
        <v>177</v>
      </c>
      <c r="J51" s="2" t="str">
        <f>IF(G51="","",VLOOKUP(G51,[1]ISO辞書!A:B,2,FALSE))</f>
        <v>ISR</v>
      </c>
      <c r="K51" s="2" t="str">
        <f>IF(H51="","",VLOOKUP(H51,[1]ISO辞書!A:B,2,FALSE))</f>
        <v>USA</v>
      </c>
      <c r="L51" s="2" t="str">
        <f>IF(I51="","",VLOOKUP(I51,[1]ISO辞書!A:B,2,FALSE))</f>
        <v/>
      </c>
      <c r="M51" s="3" t="str">
        <f t="shared" si="0"/>
        <v>ISR;USA</v>
      </c>
      <c r="N51" t="s">
        <v>178</v>
      </c>
      <c r="O51" t="s">
        <v>53</v>
      </c>
      <c r="P51" s="1">
        <v>46112</v>
      </c>
      <c r="Q51" t="s">
        <v>159</v>
      </c>
      <c r="R51" t="s">
        <v>216</v>
      </c>
      <c r="S51">
        <v>3</v>
      </c>
    </row>
    <row r="52" spans="1:19" hidden="1">
      <c r="A52" s="2" t="str">
        <f>IF(C52="","",VLOOKUP(C52,[1]ISO辞書!A:C,2,FALSE))</f>
        <v>THA</v>
      </c>
      <c r="B52" s="3" t="str">
        <f>IF(C52="","",VLOOKUP(C52,[1]ISO辞書!A:C,3,FALSE))</f>
        <v>Thailand</v>
      </c>
      <c r="C52" t="s">
        <v>237</v>
      </c>
      <c r="D52" s="7" t="s">
        <v>238</v>
      </c>
      <c r="E52" t="s">
        <v>239</v>
      </c>
      <c r="F52" t="s">
        <v>170</v>
      </c>
      <c r="J52" s="2" t="str">
        <f>IF(G52="","",VLOOKUP(G52,[1]ISO辞書!A:B,2,FALSE))</f>
        <v/>
      </c>
      <c r="K52" s="2" t="str">
        <f>IF(H52="","",VLOOKUP(H52,[1]ISO辞書!A:B,2,FALSE))</f>
        <v/>
      </c>
      <c r="L52" s="2" t="str">
        <f>IF(I52="","",VLOOKUP(I52,[1]ISO辞書!A:B,2,FALSE))</f>
        <v/>
      </c>
      <c r="M52" s="3" t="str">
        <f t="shared" si="0"/>
        <v/>
      </c>
      <c r="N52" t="s">
        <v>165</v>
      </c>
      <c r="O52" t="s">
        <v>79</v>
      </c>
      <c r="P52" s="1">
        <v>46112</v>
      </c>
      <c r="Q52" t="s">
        <v>159</v>
      </c>
      <c r="R52" t="s">
        <v>240</v>
      </c>
      <c r="S52">
        <v>2</v>
      </c>
    </row>
    <row r="53" spans="1:19" hidden="1">
      <c r="A53" s="2" t="str">
        <f>IF(C53="","",VLOOKUP(C53,[1]ISO辞書!A:C,2,FALSE))</f>
        <v>KOR</v>
      </c>
      <c r="B53" s="3" t="str">
        <f>IF(C53="","",VLOOKUP(C53,[1]ISO辞書!A:C,3,FALSE))</f>
        <v>Korea</v>
      </c>
      <c r="C53" t="s">
        <v>241</v>
      </c>
      <c r="D53" s="7" t="s">
        <v>242</v>
      </c>
      <c r="E53" t="s">
        <v>243</v>
      </c>
      <c r="F53" t="s">
        <v>244</v>
      </c>
      <c r="J53" s="2" t="str">
        <f>IF(G53="","",VLOOKUP(G53,[1]ISO辞書!A:B,2,FALSE))</f>
        <v/>
      </c>
      <c r="K53" s="2" t="str">
        <f>IF(H53="","",VLOOKUP(H53,[1]ISO辞書!A:B,2,FALSE))</f>
        <v/>
      </c>
      <c r="L53" s="2" t="str">
        <f>IF(I53="","",VLOOKUP(I53,[1]ISO辞書!A:B,2,FALSE))</f>
        <v/>
      </c>
      <c r="M53" s="3" t="str">
        <f t="shared" si="0"/>
        <v/>
      </c>
      <c r="N53" t="s">
        <v>245</v>
      </c>
      <c r="O53" t="s">
        <v>246</v>
      </c>
      <c r="P53" s="1">
        <v>46112</v>
      </c>
      <c r="Q53" t="s">
        <v>159</v>
      </c>
      <c r="R53" t="s">
        <v>247</v>
      </c>
      <c r="S53">
        <v>4</v>
      </c>
    </row>
    <row r="54" spans="1:19" hidden="1">
      <c r="A54" s="2" t="str">
        <f>IF(C54="","",VLOOKUP(C54,[1]ISO辞書!A:C,2,FALSE))</f>
        <v>MNG</v>
      </c>
      <c r="B54" s="3" t="str">
        <f>IF(C54="","",VLOOKUP(C54,[1]ISO辞書!A:C,3,FALSE))</f>
        <v>Mongolia</v>
      </c>
      <c r="C54" t="s">
        <v>251</v>
      </c>
      <c r="D54" s="7" t="s">
        <v>252</v>
      </c>
      <c r="F54" t="s">
        <v>170</v>
      </c>
      <c r="J54" s="2" t="str">
        <f>IF(G54="","",VLOOKUP(G54,[1]ISO辞書!A:B,2,FALSE))</f>
        <v/>
      </c>
      <c r="K54" s="2" t="str">
        <f>IF(H54="","",VLOOKUP(H54,[1]ISO辞書!A:B,2,FALSE))</f>
        <v/>
      </c>
      <c r="L54" s="2" t="str">
        <f>IF(I54="","",VLOOKUP(I54,[1]ISO辞書!A:B,2,FALSE))</f>
        <v/>
      </c>
      <c r="M54" s="3" t="str">
        <f t="shared" si="0"/>
        <v/>
      </c>
      <c r="N54" t="s">
        <v>165</v>
      </c>
      <c r="O54" t="s">
        <v>79</v>
      </c>
      <c r="P54" s="1">
        <v>46112</v>
      </c>
      <c r="Q54" t="s">
        <v>159</v>
      </c>
      <c r="R54" t="s">
        <v>253</v>
      </c>
      <c r="S54">
        <v>1</v>
      </c>
    </row>
    <row r="55" spans="1:19" hidden="1">
      <c r="A55" s="2" t="str">
        <f>IF(C55="","",VLOOKUP(C55,[1]ISO辞書!A:C,2,FALSE))</f>
        <v>DEU</v>
      </c>
      <c r="B55" s="3" t="str">
        <f>IF(C55="","",VLOOKUP(C55,[1]ISO辞書!A:C,3,FALSE))</f>
        <v>Germany</v>
      </c>
      <c r="C55" t="s">
        <v>273</v>
      </c>
      <c r="D55" s="7" t="s">
        <v>274</v>
      </c>
      <c r="E55" t="s">
        <v>275</v>
      </c>
      <c r="F55" t="s">
        <v>170</v>
      </c>
      <c r="J55" s="2" t="str">
        <f>IF(G55="","",VLOOKUP(G55,[1]ISO辞書!A:B,2,FALSE))</f>
        <v/>
      </c>
      <c r="K55" s="2" t="str">
        <f>IF(H55="","",VLOOKUP(H55,[1]ISO辞書!A:B,2,FALSE))</f>
        <v/>
      </c>
      <c r="L55" s="2" t="str">
        <f>IF(I55="","",VLOOKUP(I55,[1]ISO辞書!A:B,2,FALSE))</f>
        <v/>
      </c>
      <c r="M55" s="3" t="str">
        <f t="shared" si="0"/>
        <v/>
      </c>
      <c r="N55" t="s">
        <v>165</v>
      </c>
      <c r="O55" t="s">
        <v>79</v>
      </c>
      <c r="P55" s="1">
        <v>46112</v>
      </c>
      <c r="Q55" t="s">
        <v>159</v>
      </c>
      <c r="R55" t="s">
        <v>276</v>
      </c>
      <c r="S55">
        <v>3</v>
      </c>
    </row>
    <row r="56" spans="1:19" hidden="1">
      <c r="A56" s="2" t="str">
        <f>IF(C56="","",VLOOKUP(C56,[1]ISO辞書!A:C,2,FALSE))</f>
        <v>SRB</v>
      </c>
      <c r="B56" s="3" t="str">
        <f>IF(C56="","",VLOOKUP(C56,[1]ISO辞書!A:C,3,FALSE))</f>
        <v>Serbia</v>
      </c>
      <c r="C56" t="s">
        <v>300</v>
      </c>
      <c r="D56" s="7" t="s">
        <v>301</v>
      </c>
      <c r="E56" t="s">
        <v>302</v>
      </c>
      <c r="F56" t="s">
        <v>170</v>
      </c>
      <c r="J56" s="2" t="str">
        <f>IF(G56="","",VLOOKUP(G56,[1]ISO辞書!A:B,2,FALSE))</f>
        <v/>
      </c>
      <c r="K56" s="2" t="str">
        <f>IF(H56="","",VLOOKUP(H56,[1]ISO辞書!A:B,2,FALSE))</f>
        <v/>
      </c>
      <c r="L56" s="2" t="str">
        <f>IF(I56="","",VLOOKUP(I56,[1]ISO辞書!A:B,2,FALSE))</f>
        <v/>
      </c>
      <c r="M56" s="3" t="str">
        <f t="shared" si="0"/>
        <v/>
      </c>
      <c r="N56" t="s">
        <v>165</v>
      </c>
      <c r="O56" t="s">
        <v>79</v>
      </c>
      <c r="P56" s="1">
        <v>46112</v>
      </c>
      <c r="Q56" t="s">
        <v>159</v>
      </c>
      <c r="R56" t="s">
        <v>303</v>
      </c>
      <c r="S56">
        <v>3</v>
      </c>
    </row>
    <row r="57" spans="1:19" hidden="1">
      <c r="A57" s="2" t="str">
        <f>IF(C57="","",VLOOKUP(C57,[1]ISO辞書!A:C,2,FALSE))</f>
        <v>SYR</v>
      </c>
      <c r="B57" s="3" t="str">
        <f>IF(C57="","",VLOOKUP(C57,[1]ISO辞書!A:C,3,FALSE))</f>
        <v>Syrian Arab Republic</v>
      </c>
      <c r="C57" t="s">
        <v>197</v>
      </c>
      <c r="D57" s="7" t="s">
        <v>317</v>
      </c>
      <c r="E57" t="s">
        <v>318</v>
      </c>
      <c r="F57" t="s">
        <v>279</v>
      </c>
      <c r="G57" t="s">
        <v>188</v>
      </c>
      <c r="H57" t="s">
        <v>177</v>
      </c>
      <c r="I57" t="s">
        <v>153</v>
      </c>
      <c r="J57" s="2" t="str">
        <f>IF(G57="","",VLOOKUP(G57,[1]ISO辞書!A:B,2,FALSE))</f>
        <v>IRN</v>
      </c>
      <c r="K57" s="2" t="str">
        <f>IF(H57="","",VLOOKUP(H57,[1]ISO辞書!A:B,2,FALSE))</f>
        <v>USA</v>
      </c>
      <c r="L57" s="2" t="str">
        <f>IF(I57="","",VLOOKUP(I57,[1]ISO辞書!A:B,2,FALSE))</f>
        <v>ISR</v>
      </c>
      <c r="M57" s="3" t="str">
        <f t="shared" si="0"/>
        <v>IRN;USA;ISR</v>
      </c>
      <c r="N57" t="s">
        <v>178</v>
      </c>
      <c r="O57" t="s">
        <v>53</v>
      </c>
      <c r="P57" s="1">
        <v>46112</v>
      </c>
      <c r="Q57" t="s">
        <v>159</v>
      </c>
      <c r="R57" t="s">
        <v>319</v>
      </c>
      <c r="S57">
        <v>3</v>
      </c>
    </row>
    <row r="58" spans="1:19" hidden="1">
      <c r="A58" s="2" t="str">
        <f>IF(C58="","",VLOOKUP(C58,[1]ISO辞書!A:C,2,FALSE))</f>
        <v>MEX</v>
      </c>
      <c r="B58" s="3" t="str">
        <f>IF(C58="","",VLOOKUP(C58,[1]ISO辞書!A:C,3,FALSE))</f>
        <v>Mexico</v>
      </c>
      <c r="C58" t="s">
        <v>248</v>
      </c>
      <c r="D58" s="7" t="s">
        <v>249</v>
      </c>
      <c r="F58" t="s">
        <v>170</v>
      </c>
      <c r="J58" s="2" t="str">
        <f>IF(G58="","",VLOOKUP(G58,[1]ISO辞書!A:B,2,FALSE))</f>
        <v/>
      </c>
      <c r="K58" s="2" t="str">
        <f>IF(H58="","",VLOOKUP(H58,[1]ISO辞書!A:B,2,FALSE))</f>
        <v/>
      </c>
      <c r="L58" s="2" t="str">
        <f>IF(I58="","",VLOOKUP(I58,[1]ISO辞書!A:B,2,FALSE))</f>
        <v/>
      </c>
      <c r="M58" s="3" t="str">
        <f t="shared" si="0"/>
        <v/>
      </c>
      <c r="N58" t="s">
        <v>165</v>
      </c>
      <c r="O58" t="s">
        <v>79</v>
      </c>
      <c r="P58" s="1">
        <v>46113</v>
      </c>
      <c r="Q58" t="s">
        <v>159</v>
      </c>
      <c r="R58" s="5" t="s">
        <v>250</v>
      </c>
      <c r="S58">
        <v>1</v>
      </c>
    </row>
    <row r="59" spans="1:19" hidden="1">
      <c r="A59" s="2" t="str">
        <f>IF(C59="","",VLOOKUP(C59,[1]ISO辞書!A:C,2,FALSE))</f>
        <v>USA</v>
      </c>
      <c r="B59" s="3" t="str">
        <f>IF(C59="","",VLOOKUP(C59,[1]ISO辞書!A:C,3,FALSE))</f>
        <v>America</v>
      </c>
      <c r="C59" t="s">
        <v>177</v>
      </c>
      <c r="D59" s="7" t="s">
        <v>296</v>
      </c>
      <c r="E59" t="s">
        <v>297</v>
      </c>
      <c r="F59" t="s">
        <v>279</v>
      </c>
      <c r="J59" s="2" t="str">
        <f>IF(G59="","",VLOOKUP(G59,[1]ISO辞書!A:B,2,FALSE))</f>
        <v/>
      </c>
      <c r="K59" s="2" t="str">
        <f>IF(H59="","",VLOOKUP(H59,[1]ISO辞書!A:B,2,FALSE))</f>
        <v/>
      </c>
      <c r="L59" s="2" t="str">
        <f>IF(I59="","",VLOOKUP(I59,[1]ISO辞書!A:B,2,FALSE))</f>
        <v/>
      </c>
      <c r="M59" s="3" t="str">
        <f t="shared" si="0"/>
        <v/>
      </c>
      <c r="N59" t="s">
        <v>298</v>
      </c>
      <c r="P59" s="1">
        <v>46113</v>
      </c>
      <c r="Q59" t="s">
        <v>159</v>
      </c>
      <c r="R59" t="s">
        <v>299</v>
      </c>
      <c r="S59">
        <v>4</v>
      </c>
    </row>
    <row r="60" spans="1:19" hidden="1">
      <c r="A60" s="2" t="str">
        <f>IF(C60="","",VLOOKUP(C60,[1]ISO辞書!A:C,2,FALSE))</f>
        <v>LBN</v>
      </c>
      <c r="B60" s="3" t="str">
        <f>IF(C60="","",VLOOKUP(C60,[1]ISO辞書!A:C,3,FALSE))</f>
        <v>Lebanon</v>
      </c>
      <c r="C60" t="s">
        <v>157</v>
      </c>
      <c r="D60" s="7" t="s">
        <v>315</v>
      </c>
      <c r="F60" t="s">
        <v>156</v>
      </c>
      <c r="G60" t="s">
        <v>153</v>
      </c>
      <c r="J60" s="2" t="str">
        <f>IF(G60="","",VLOOKUP(G60,[1]ISO辞書!A:B,2,FALSE))</f>
        <v>ISR</v>
      </c>
      <c r="K60" s="2" t="str">
        <f>IF(H60="","",VLOOKUP(H60,[1]ISO辞書!A:B,2,FALSE))</f>
        <v/>
      </c>
      <c r="L60" s="2" t="str">
        <f>IF(I60="","",VLOOKUP(I60,[1]ISO辞書!A:B,2,FALSE))</f>
        <v/>
      </c>
      <c r="M60" s="3" t="str">
        <f t="shared" si="0"/>
        <v>ISR</v>
      </c>
      <c r="N60" t="s">
        <v>158</v>
      </c>
      <c r="O60" t="s">
        <v>69</v>
      </c>
      <c r="P60" s="1">
        <v>46113</v>
      </c>
      <c r="Q60" t="s">
        <v>159</v>
      </c>
      <c r="R60" t="s">
        <v>316</v>
      </c>
      <c r="S60">
        <v>4</v>
      </c>
    </row>
    <row r="61" spans="1:19" hidden="1">
      <c r="A61" s="2" t="str">
        <f>IF(C61="","",VLOOKUP(C61,[1]ISO辞書!A:C,2,FALSE))</f>
        <v>ARG</v>
      </c>
      <c r="B61" s="3" t="str">
        <f>IF(C61="","",VLOOKUP(C61,[1]ISO辞書!A:C,3,FALSE))</f>
        <v>Argentina</v>
      </c>
      <c r="C61" t="s">
        <v>320</v>
      </c>
      <c r="D61" s="7" t="s">
        <v>321</v>
      </c>
      <c r="E61" t="s">
        <v>322</v>
      </c>
      <c r="F61" t="s">
        <v>279</v>
      </c>
      <c r="G61" t="s">
        <v>188</v>
      </c>
      <c r="J61" s="2" t="str">
        <f>IF(G61="","",VLOOKUP(G61,[1]ISO辞書!A:B,2,FALSE))</f>
        <v>IRN</v>
      </c>
      <c r="K61" s="2" t="str">
        <f>IF(H61="","",VLOOKUP(H61,[1]ISO辞書!A:B,2,FALSE))</f>
        <v/>
      </c>
      <c r="L61" s="2" t="str">
        <f>IF(I61="","",VLOOKUP(I61,[1]ISO辞書!A:B,2,FALSE))</f>
        <v/>
      </c>
      <c r="M61" s="3" t="str">
        <f t="shared" si="0"/>
        <v>IRN</v>
      </c>
      <c r="N61" t="s">
        <v>178</v>
      </c>
      <c r="O61" t="s">
        <v>53</v>
      </c>
      <c r="P61" s="1">
        <v>46113</v>
      </c>
      <c r="Q61" t="s">
        <v>159</v>
      </c>
      <c r="R61" t="s">
        <v>323</v>
      </c>
      <c r="S61">
        <v>4</v>
      </c>
    </row>
    <row r="62" spans="1:19" hidden="1">
      <c r="A62" s="2" t="str">
        <f>IF(C62="","",VLOOKUP(C62,[1]ISO辞書!A:C,2,FALSE))</f>
        <v>EU</v>
      </c>
      <c r="B62" s="3" t="str">
        <f>IF(C62="","",VLOOKUP(C62,[1]ISO辞書!A:C,3,FALSE))</f>
        <v>EU</v>
      </c>
      <c r="C62" t="s">
        <v>343</v>
      </c>
      <c r="D62" s="7" t="s">
        <v>344</v>
      </c>
      <c r="E62" t="s">
        <v>345</v>
      </c>
      <c r="F62" t="s">
        <v>279</v>
      </c>
      <c r="G62" t="s">
        <v>172</v>
      </c>
      <c r="J62" s="2" t="str">
        <f>IF(G62="","",VLOOKUP(G62,[1]ISO辞書!A:B,2,FALSE))</f>
        <v>CUB</v>
      </c>
      <c r="K62" s="2" t="str">
        <f>IF(H62="","",VLOOKUP(H62,[1]ISO辞書!A:B,2,FALSE))</f>
        <v/>
      </c>
      <c r="L62" s="2" t="str">
        <f>IF(I62="","",VLOOKUP(I62,[1]ISO辞書!A:B,2,FALSE))</f>
        <v/>
      </c>
      <c r="M62" s="3" t="str">
        <f t="shared" si="0"/>
        <v>CUB</v>
      </c>
      <c r="N62" t="s">
        <v>178</v>
      </c>
      <c r="O62" t="s">
        <v>53</v>
      </c>
      <c r="P62" s="1">
        <v>46113</v>
      </c>
      <c r="Q62" t="s">
        <v>159</v>
      </c>
      <c r="R62" t="s">
        <v>346</v>
      </c>
      <c r="S62">
        <v>3</v>
      </c>
    </row>
    <row r="63" spans="1:19" hidden="1">
      <c r="A63" s="2" t="str">
        <f>IF(C63="","",VLOOKUP(C63,[1]ISO辞書!A:C,2,FALSE))</f>
        <v>TCD</v>
      </c>
      <c r="B63" s="3" t="str">
        <f>IF(C63="","",VLOOKUP(C63,[1]ISO辞書!A:C,3,FALSE))</f>
        <v>Chad</v>
      </c>
      <c r="C63" t="s">
        <v>407</v>
      </c>
      <c r="D63" s="7" t="s">
        <v>408</v>
      </c>
      <c r="F63" t="s">
        <v>365</v>
      </c>
      <c r="G63" t="s">
        <v>409</v>
      </c>
      <c r="J63" s="2" t="str">
        <f>IF(G63="","",VLOOKUP(G63,[1]ISO辞書!A:B,2,FALSE))</f>
        <v>HTI</v>
      </c>
      <c r="K63" s="2" t="str">
        <f>IF(H63="","",VLOOKUP(H63,[1]ISO辞書!A:B,2,FALSE))</f>
        <v/>
      </c>
      <c r="L63" s="2" t="str">
        <f>IF(I63="","",VLOOKUP(I63,[1]ISO辞書!A:B,2,FALSE))</f>
        <v/>
      </c>
      <c r="M63" s="3" t="str">
        <f t="shared" si="0"/>
        <v>HTI</v>
      </c>
      <c r="N63" t="s">
        <v>257</v>
      </c>
      <c r="O63" t="s">
        <v>69</v>
      </c>
      <c r="P63" s="1">
        <v>46113</v>
      </c>
      <c r="Q63" t="s">
        <v>405</v>
      </c>
      <c r="R63" t="s">
        <v>410</v>
      </c>
      <c r="S63">
        <v>3</v>
      </c>
    </row>
    <row r="64" spans="1:19" hidden="1">
      <c r="A64" s="2" t="str">
        <f>IF(C64="","",VLOOKUP(C64,[1]ISO辞書!A:C,2,FALSE))</f>
        <v>RUS</v>
      </c>
      <c r="B64" s="3" t="str">
        <f>IF(C64="","",VLOOKUP(C64,[1]ISO辞書!A:C,3,FALSE))</f>
        <v>Russian Federation</v>
      </c>
      <c r="C64" t="s">
        <v>176</v>
      </c>
      <c r="D64" s="7" t="s">
        <v>291</v>
      </c>
      <c r="F64" t="s">
        <v>156</v>
      </c>
      <c r="G64" t="s">
        <v>202</v>
      </c>
      <c r="J64" s="2" t="str">
        <f>IF(G64="","",VLOOKUP(G64,[1]ISO辞書!A:B,2,FALSE))</f>
        <v>UKR</v>
      </c>
      <c r="K64" s="2" t="str">
        <f>IF(H64="","",VLOOKUP(H64,[1]ISO辞書!A:B,2,FALSE))</f>
        <v/>
      </c>
      <c r="L64" s="2" t="str">
        <f>IF(I64="","",VLOOKUP(I64,[1]ISO辞書!A:B,2,FALSE))</f>
        <v/>
      </c>
      <c r="M64" s="3" t="str">
        <f t="shared" si="0"/>
        <v>UKR</v>
      </c>
      <c r="N64" t="s">
        <v>158</v>
      </c>
      <c r="O64" t="s">
        <v>69</v>
      </c>
      <c r="P64" s="1">
        <v>46114</v>
      </c>
      <c r="Q64" t="s">
        <v>159</v>
      </c>
      <c r="R64" t="s">
        <v>292</v>
      </c>
      <c r="S64">
        <v>4</v>
      </c>
    </row>
    <row r="65" spans="1:19" hidden="1">
      <c r="A65" s="2" t="str">
        <f>IF(C65="","",VLOOKUP(C65,[1]ISO辞書!A:C,2,FALSE))</f>
        <v>GBR</v>
      </c>
      <c r="B65" s="3" t="str">
        <f>IF(C65="","",VLOOKUP(C65,[1]ISO辞書!A:C,3,FALSE))</f>
        <v>Britain</v>
      </c>
      <c r="C65" t="s">
        <v>193</v>
      </c>
      <c r="D65" s="7" t="s">
        <v>293</v>
      </c>
      <c r="E65" t="s">
        <v>294</v>
      </c>
      <c r="F65" t="s">
        <v>279</v>
      </c>
      <c r="G65" t="s">
        <v>273</v>
      </c>
      <c r="H65" t="s">
        <v>213</v>
      </c>
      <c r="I65" t="s">
        <v>286</v>
      </c>
      <c r="J65" s="2" t="str">
        <f>IF(G65="","",VLOOKUP(G65,[1]ISO辞書!A:B,2,FALSE))</f>
        <v>DEU</v>
      </c>
      <c r="K65" s="2" t="str">
        <f>IF(H65="","",VLOOKUP(H65,[1]ISO辞書!A:B,2,FALSE))</f>
        <v>FRA</v>
      </c>
      <c r="L65" s="2" t="str">
        <f>IF(I65="","",VLOOKUP(I65,[1]ISO辞書!A:B,2,FALSE))</f>
        <v>ARE</v>
      </c>
      <c r="M65" s="3" t="str">
        <f t="shared" si="0"/>
        <v>DEU;FRA;ARE</v>
      </c>
      <c r="N65" t="s">
        <v>264</v>
      </c>
      <c r="O65" t="s">
        <v>179</v>
      </c>
      <c r="P65" s="1">
        <v>46114</v>
      </c>
      <c r="Q65" t="s">
        <v>159</v>
      </c>
      <c r="R65" t="s">
        <v>295</v>
      </c>
      <c r="S65">
        <v>5</v>
      </c>
    </row>
    <row r="66" spans="1:19" hidden="1">
      <c r="A66" s="2" t="str">
        <f>IF(C66="","",VLOOKUP(C66,[1]ISO辞書!A:C,2,FALSE))</f>
        <v>BFA</v>
      </c>
      <c r="B66" s="3" t="str">
        <f>IF(C66="","",VLOOKUP(C66,[1]ISO辞書!A:C,3,FALSE))</f>
        <v>Burkina Faso</v>
      </c>
      <c r="C66" t="s">
        <v>324</v>
      </c>
      <c r="D66" s="7" t="s">
        <v>325</v>
      </c>
      <c r="E66" t="s">
        <v>326</v>
      </c>
      <c r="F66" t="s">
        <v>279</v>
      </c>
      <c r="G66" t="s">
        <v>327</v>
      </c>
      <c r="J66" s="2" t="str">
        <f>IF(G66="","",VLOOKUP(G66,[1]ISO辞書!A:B,2,FALSE))</f>
        <v>MLI</v>
      </c>
      <c r="K66" s="2" t="str">
        <f>IF(H66="","",VLOOKUP(H66,[1]ISO辞書!A:B,2,FALSE))</f>
        <v/>
      </c>
      <c r="L66" s="2" t="str">
        <f>IF(I66="","",VLOOKUP(I66,[1]ISO辞書!A:B,2,FALSE))</f>
        <v/>
      </c>
      <c r="M66" s="3" t="str">
        <f t="shared" ref="M66:M129" si="1">_xlfn.TEXTJOIN(";",TRUE,J66:L66)</f>
        <v>MLI</v>
      </c>
      <c r="N66" t="s">
        <v>158</v>
      </c>
      <c r="O66" t="s">
        <v>69</v>
      </c>
      <c r="P66" s="1">
        <v>46114</v>
      </c>
      <c r="Q66" t="s">
        <v>159</v>
      </c>
      <c r="R66" t="s">
        <v>328</v>
      </c>
      <c r="S66">
        <v>3</v>
      </c>
    </row>
    <row r="67" spans="1:19" hidden="1">
      <c r="A67" s="2" t="str">
        <f>IF(C67="","",VLOOKUP(C67,[1]ISO辞書!A:C,2,FALSE))</f>
        <v>COD</v>
      </c>
      <c r="B67" s="3" t="str">
        <f>IF(C67="","",VLOOKUP(C67,[1]ISO辞書!A:C,3,FALSE))</f>
        <v>Democratic Republic of the Congo</v>
      </c>
      <c r="C67" t="s">
        <v>336</v>
      </c>
      <c r="D67" s="7" t="s">
        <v>337</v>
      </c>
      <c r="F67" t="s">
        <v>156</v>
      </c>
      <c r="J67" s="2" t="str">
        <f>IF(G67="","",VLOOKUP(G67,[1]ISO辞書!A:B,2,FALSE))</f>
        <v/>
      </c>
      <c r="K67" s="2" t="str">
        <f>IF(H67="","",VLOOKUP(H67,[1]ISO辞書!A:B,2,FALSE))</f>
        <v/>
      </c>
      <c r="L67" s="2" t="str">
        <f>IF(I67="","",VLOOKUP(I67,[1]ISO辞書!A:B,2,FALSE))</f>
        <v/>
      </c>
      <c r="M67" s="3" t="str">
        <f t="shared" si="1"/>
        <v/>
      </c>
      <c r="N67" t="s">
        <v>338</v>
      </c>
      <c r="O67" t="s">
        <v>69</v>
      </c>
      <c r="P67" s="1">
        <v>46114</v>
      </c>
      <c r="Q67" t="s">
        <v>159</v>
      </c>
      <c r="R67" t="s">
        <v>339</v>
      </c>
      <c r="S67">
        <v>2</v>
      </c>
    </row>
    <row r="68" spans="1:19" hidden="1">
      <c r="A68" s="2" t="str">
        <f>IF(C68="","",VLOOKUP(C68,[1]ISO辞書!A:C,2,FALSE))</f>
        <v>USA</v>
      </c>
      <c r="B68" s="3" t="str">
        <f>IF(C68="","",VLOOKUP(C68,[1]ISO辞書!A:C,3,FALSE))</f>
        <v>America</v>
      </c>
      <c r="C68" t="s">
        <v>177</v>
      </c>
      <c r="D68" s="7" t="s">
        <v>340</v>
      </c>
      <c r="E68" t="s">
        <v>341</v>
      </c>
      <c r="F68" t="s">
        <v>279</v>
      </c>
      <c r="G68" t="s">
        <v>256</v>
      </c>
      <c r="J68" s="2" t="str">
        <f>IF(G68="","",VLOOKUP(G68,[1]ISO辞書!A:B,2,FALSE))</f>
        <v>VEN</v>
      </c>
      <c r="K68" s="2" t="str">
        <f>IF(H68="","",VLOOKUP(H68,[1]ISO辞書!A:B,2,FALSE))</f>
        <v/>
      </c>
      <c r="L68" s="2" t="str">
        <f>IF(I68="","",VLOOKUP(I68,[1]ISO辞書!A:B,2,FALSE))</f>
        <v/>
      </c>
      <c r="M68" s="3" t="str">
        <f t="shared" si="1"/>
        <v>VEN</v>
      </c>
      <c r="N68" t="s">
        <v>257</v>
      </c>
      <c r="O68" t="s">
        <v>53</v>
      </c>
      <c r="P68" s="1">
        <v>46114</v>
      </c>
      <c r="Q68" t="s">
        <v>159</v>
      </c>
      <c r="R68" t="s">
        <v>342</v>
      </c>
      <c r="S68">
        <v>4</v>
      </c>
    </row>
    <row r="69" spans="1:19" hidden="1">
      <c r="A69" s="2" t="str">
        <f>IF(C69="","",VLOOKUP(C69,[1]ISO辞書!A:C,2,FALSE))</f>
        <v>NZL</v>
      </c>
      <c r="B69" s="3" t="str">
        <f>IF(C69="","",VLOOKUP(C69,[1]ISO辞書!A:C,3,FALSE))</f>
        <v>New Zealand</v>
      </c>
      <c r="C69" t="s">
        <v>350</v>
      </c>
      <c r="D69" s="7" t="s">
        <v>351</v>
      </c>
      <c r="E69" t="s">
        <v>352</v>
      </c>
      <c r="F69" t="s">
        <v>279</v>
      </c>
      <c r="G69" t="s">
        <v>353</v>
      </c>
      <c r="J69" s="2" t="str">
        <f>IF(G69="","",VLOOKUP(G69,[1]ISO辞書!A:B,2,FALSE))</f>
        <v>COK</v>
      </c>
      <c r="K69" s="2" t="str">
        <f>IF(H69="","",VLOOKUP(H69,[1]ISO辞書!A:B,2,FALSE))</f>
        <v/>
      </c>
      <c r="L69" s="2" t="str">
        <f>IF(I69="","",VLOOKUP(I69,[1]ISO辞書!A:B,2,FALSE))</f>
        <v/>
      </c>
      <c r="M69" s="3" t="str">
        <f t="shared" si="1"/>
        <v>COK</v>
      </c>
      <c r="N69" t="s">
        <v>257</v>
      </c>
      <c r="O69" t="s">
        <v>53</v>
      </c>
      <c r="P69" s="1">
        <v>46114</v>
      </c>
      <c r="Q69" t="s">
        <v>159</v>
      </c>
      <c r="R69" t="s">
        <v>354</v>
      </c>
      <c r="S69">
        <v>4</v>
      </c>
    </row>
    <row r="70" spans="1:19" hidden="1">
      <c r="A70" s="2" t="str">
        <f>IF(C70="","",VLOOKUP(C70,[1]ISO辞書!A:C,2,FALSE))</f>
        <v>IND</v>
      </c>
      <c r="B70" s="3" t="str">
        <f>IF(C70="","",VLOOKUP(C70,[1]ISO辞書!A:C,3,FALSE))</f>
        <v>India</v>
      </c>
      <c r="C70" t="s">
        <v>395</v>
      </c>
      <c r="D70" s="7" t="s">
        <v>396</v>
      </c>
      <c r="F70" t="s">
        <v>365</v>
      </c>
      <c r="G70" t="s">
        <v>397</v>
      </c>
      <c r="H70" t="s">
        <v>367</v>
      </c>
      <c r="J70" s="2" t="str">
        <f>IF(G70="","",VLOOKUP(G70,[1]ISO辞書!A:B,2,FALSE))</f>
        <v>GBR</v>
      </c>
      <c r="K70" s="2" t="str">
        <f>IF(H70="","",VLOOKUP(H70,[1]ISO辞書!A:B,2,FALSE))</f>
        <v>IRN</v>
      </c>
      <c r="L70" s="2" t="str">
        <f>IF(I70="","",VLOOKUP(I70,[1]ISO辞書!A:B,2,FALSE))</f>
        <v/>
      </c>
      <c r="M70" s="3" t="str">
        <f t="shared" si="1"/>
        <v>GBR;IRN</v>
      </c>
      <c r="N70" t="s">
        <v>264</v>
      </c>
      <c r="O70" t="s">
        <v>53</v>
      </c>
      <c r="P70" s="1">
        <v>46114</v>
      </c>
      <c r="Q70" t="s">
        <v>360</v>
      </c>
      <c r="R70" t="s">
        <v>398</v>
      </c>
      <c r="S70">
        <v>4</v>
      </c>
    </row>
    <row r="71" spans="1:19" hidden="1">
      <c r="A71" s="2" t="str">
        <f>IF(C71="","",VLOOKUP(C71,[1]ISO辞書!A:C,2,FALSE))</f>
        <v>RUS</v>
      </c>
      <c r="B71" s="3" t="str">
        <f>IF(C71="","",VLOOKUP(C71,[1]ISO辞書!A:C,3,FALSE))</f>
        <v>Russian Federation</v>
      </c>
      <c r="C71" t="s">
        <v>388</v>
      </c>
      <c r="D71" s="7" t="s">
        <v>399</v>
      </c>
      <c r="F71" t="s">
        <v>400</v>
      </c>
      <c r="G71" t="s">
        <v>401</v>
      </c>
      <c r="J71" s="2" t="str">
        <f>IF(G71="","",VLOOKUP(G71,[1]ISO辞書!A:B,2,FALSE))</f>
        <v>MDG</v>
      </c>
      <c r="K71" s="2" t="str">
        <f>IF(H71="","",VLOOKUP(H71,[1]ISO辞書!A:B,2,FALSE))</f>
        <v/>
      </c>
      <c r="L71" s="2" t="str">
        <f>IF(I71="","",VLOOKUP(I71,[1]ISO辞書!A:B,2,FALSE))</f>
        <v/>
      </c>
      <c r="M71" s="3" t="str">
        <f t="shared" si="1"/>
        <v>MDG</v>
      </c>
      <c r="N71" t="s">
        <v>257</v>
      </c>
      <c r="O71" t="s">
        <v>53</v>
      </c>
      <c r="P71" s="1">
        <v>46114</v>
      </c>
      <c r="Q71" t="s">
        <v>360</v>
      </c>
      <c r="R71" t="s">
        <v>402</v>
      </c>
      <c r="S71">
        <v>3</v>
      </c>
    </row>
    <row r="72" spans="1:19" hidden="1">
      <c r="A72" s="2" t="str">
        <f>IF(C72="","",VLOOKUP(C72,[1]ISO辞書!A:C,2,FALSE))</f>
        <v>ITA</v>
      </c>
      <c r="B72" s="3" t="str">
        <f>IF(C72="","",VLOOKUP(C72,[1]ISO辞書!A:C,3,FALSE))</f>
        <v>Italy</v>
      </c>
      <c r="C72" t="s">
        <v>167</v>
      </c>
      <c r="D72" s="7" t="s">
        <v>282</v>
      </c>
      <c r="E72" t="s">
        <v>283</v>
      </c>
      <c r="G72" t="s">
        <v>284</v>
      </c>
      <c r="H72" t="s">
        <v>285</v>
      </c>
      <c r="I72" t="s">
        <v>286</v>
      </c>
      <c r="J72" s="2" t="str">
        <f>IF(G72="","",VLOOKUP(G72,[1]ISO辞書!A:B,2,FALSE))</f>
        <v>SAU</v>
      </c>
      <c r="K72" s="2" t="str">
        <f>IF(H72="","",VLOOKUP(H72,[1]ISO辞書!A:B,2,FALSE))</f>
        <v>QAT</v>
      </c>
      <c r="L72" s="2" t="str">
        <f>IF(I72="","",VLOOKUP(I72,[1]ISO辞書!A:B,2,FALSE))</f>
        <v>ARE</v>
      </c>
      <c r="M72" s="3" t="str">
        <f t="shared" si="1"/>
        <v>SAU;QAT;ARE</v>
      </c>
      <c r="N72" t="s">
        <v>257</v>
      </c>
      <c r="O72" t="s">
        <v>53</v>
      </c>
      <c r="P72" s="1">
        <v>46115</v>
      </c>
      <c r="Q72" t="s">
        <v>159</v>
      </c>
      <c r="R72" t="s">
        <v>287</v>
      </c>
      <c r="S72">
        <v>3</v>
      </c>
    </row>
    <row r="73" spans="1:19" hidden="1">
      <c r="A73" s="2" t="str">
        <f>IF(C73="","",VLOOKUP(C73,[1]ISO辞書!A:C,2,FALSE))</f>
        <v>KOR</v>
      </c>
      <c r="B73" s="3" t="str">
        <f>IF(C73="","",VLOOKUP(C73,[1]ISO辞書!A:C,3,FALSE))</f>
        <v>Korea</v>
      </c>
      <c r="C73" t="s">
        <v>241</v>
      </c>
      <c r="D73" s="7" t="s">
        <v>288</v>
      </c>
      <c r="E73" t="s">
        <v>289</v>
      </c>
      <c r="F73" t="s">
        <v>279</v>
      </c>
      <c r="G73" t="s">
        <v>213</v>
      </c>
      <c r="J73" s="2" t="str">
        <f>IF(G73="","",VLOOKUP(G73,[1]ISO辞書!A:B,2,FALSE))</f>
        <v>FRA</v>
      </c>
      <c r="K73" s="2" t="str">
        <f>IF(H73="","",VLOOKUP(H73,[1]ISO辞書!A:B,2,FALSE))</f>
        <v/>
      </c>
      <c r="L73" s="2" t="str">
        <f>IF(I73="","",VLOOKUP(I73,[1]ISO辞書!A:B,2,FALSE))</f>
        <v/>
      </c>
      <c r="M73" s="3" t="str">
        <f t="shared" si="1"/>
        <v>FRA</v>
      </c>
      <c r="N73" t="s">
        <v>257</v>
      </c>
      <c r="O73" t="s">
        <v>53</v>
      </c>
      <c r="P73" s="1">
        <v>46115</v>
      </c>
      <c r="Q73" t="s">
        <v>159</v>
      </c>
      <c r="R73" t="s">
        <v>290</v>
      </c>
      <c r="S73">
        <v>3</v>
      </c>
    </row>
    <row r="74" spans="1:19" hidden="1">
      <c r="A74" s="2" t="str">
        <f>IF(C74="","",VLOOKUP(C74,[1]ISO辞書!A:C,2,FALSE))</f>
        <v>RUS</v>
      </c>
      <c r="B74" s="3" t="str">
        <f>IF(C74="","",VLOOKUP(C74,[1]ISO辞書!A:C,3,FALSE))</f>
        <v>Russian Federation</v>
      </c>
      <c r="C74" t="s">
        <v>176</v>
      </c>
      <c r="D74" s="7" t="s">
        <v>309</v>
      </c>
      <c r="E74" t="s">
        <v>310</v>
      </c>
      <c r="F74" t="s">
        <v>279</v>
      </c>
      <c r="G74" t="s">
        <v>280</v>
      </c>
      <c r="J74" s="2" t="str">
        <f>IF(G74="","",VLOOKUP(G74,[1]ISO辞書!A:B,2,FALSE))</f>
        <v>TUR</v>
      </c>
      <c r="K74" s="2" t="str">
        <f>IF(H74="","",VLOOKUP(H74,[1]ISO辞書!A:B,2,FALSE))</f>
        <v/>
      </c>
      <c r="L74" s="2" t="str">
        <f>IF(I74="","",VLOOKUP(I74,[1]ISO辞書!A:B,2,FALSE))</f>
        <v/>
      </c>
      <c r="M74" s="3" t="str">
        <f t="shared" si="1"/>
        <v>TUR</v>
      </c>
      <c r="N74" t="s">
        <v>178</v>
      </c>
      <c r="O74" t="s">
        <v>53</v>
      </c>
      <c r="P74" s="1">
        <v>46115</v>
      </c>
      <c r="Q74" t="s">
        <v>159</v>
      </c>
      <c r="R74" t="s">
        <v>311</v>
      </c>
      <c r="S74">
        <v>4</v>
      </c>
    </row>
    <row r="75" spans="1:19" hidden="1">
      <c r="A75" s="2" t="str">
        <f>IF(C75="","",VLOOKUP(C75,[1]ISO辞書!A:C,2,FALSE))</f>
        <v>JPN</v>
      </c>
      <c r="B75" s="3" t="str">
        <f>IF(C75="","",VLOOKUP(C75,[1]ISO辞書!A:C,3,FALSE))</f>
        <v>Japan</v>
      </c>
      <c r="C75" t="s">
        <v>312</v>
      </c>
      <c r="D75" s="7" t="s">
        <v>355</v>
      </c>
      <c r="F75" t="s">
        <v>279</v>
      </c>
      <c r="G75" t="s">
        <v>213</v>
      </c>
      <c r="H75" t="s">
        <v>313</v>
      </c>
      <c r="I75" t="s">
        <v>188</v>
      </c>
      <c r="J75" s="2" t="str">
        <f>IF(G75="","",VLOOKUP(G75,[1]ISO辞書!A:B,2,FALSE))</f>
        <v>FRA</v>
      </c>
      <c r="K75" s="2" t="str">
        <f>IF(H75="","",VLOOKUP(H75,[1]ISO辞書!A:B,2,FALSE))</f>
        <v>OMN</v>
      </c>
      <c r="L75" s="2" t="str">
        <f>IF(I75="","",VLOOKUP(I75,[1]ISO辞書!A:B,2,FALSE))</f>
        <v>IRN</v>
      </c>
      <c r="M75" s="3" t="str">
        <f t="shared" si="1"/>
        <v>FRA;OMN;IRN</v>
      </c>
      <c r="N75" t="s">
        <v>264</v>
      </c>
      <c r="O75" t="s">
        <v>179</v>
      </c>
      <c r="P75" s="1">
        <v>46115</v>
      </c>
      <c r="Q75" t="s">
        <v>159</v>
      </c>
      <c r="R75" t="s">
        <v>314</v>
      </c>
      <c r="S75">
        <v>4</v>
      </c>
    </row>
    <row r="76" spans="1:19" hidden="1">
      <c r="A76" s="2" t="str">
        <f>IF(C76="","",VLOOKUP(C76,[1]ISO辞書!A:C,2,FALSE))</f>
        <v>ETH</v>
      </c>
      <c r="B76" s="3" t="str">
        <f>IF(C76="","",VLOOKUP(C76,[1]ISO辞書!A:C,3,FALSE))</f>
        <v>Ethiopia</v>
      </c>
      <c r="C76" t="s">
        <v>329</v>
      </c>
      <c r="D76" s="7" t="s">
        <v>330</v>
      </c>
      <c r="E76" t="s">
        <v>331</v>
      </c>
      <c r="F76" t="s">
        <v>279</v>
      </c>
      <c r="G76" t="s">
        <v>332</v>
      </c>
      <c r="J76" s="2" t="str">
        <f>IF(G76="","",VLOOKUP(G76,[1]ISO辞書!A:B,2,FALSE))</f>
        <v>CHN</v>
      </c>
      <c r="K76" s="2" t="str">
        <f>IF(H76="","",VLOOKUP(H76,[1]ISO辞書!A:B,2,FALSE))</f>
        <v/>
      </c>
      <c r="L76" s="2" t="str">
        <f>IF(I76="","",VLOOKUP(I76,[1]ISO辞書!A:B,2,FALSE))</f>
        <v/>
      </c>
      <c r="M76" s="3" t="str">
        <f t="shared" si="1"/>
        <v>CHN</v>
      </c>
      <c r="N76" t="s">
        <v>333</v>
      </c>
      <c r="O76" t="s">
        <v>334</v>
      </c>
      <c r="P76" s="1">
        <v>46115</v>
      </c>
      <c r="Q76" t="s">
        <v>159</v>
      </c>
      <c r="R76" t="s">
        <v>335</v>
      </c>
      <c r="S76">
        <v>3</v>
      </c>
    </row>
    <row r="77" spans="1:19" hidden="1">
      <c r="A77" s="2" t="str">
        <f>IF(C77="","",VLOOKUP(C77,[1]ISO辞書!A:C,2,FALSE))</f>
        <v>CHN</v>
      </c>
      <c r="B77" s="3" t="str">
        <f>IF(C77="","",VLOOKUP(C77,[1]ISO辞書!A:C,3,FALSE))</f>
        <v>China</v>
      </c>
      <c r="C77" t="s">
        <v>332</v>
      </c>
      <c r="D77" s="7" t="s">
        <v>347</v>
      </c>
      <c r="E77" t="s">
        <v>348</v>
      </c>
      <c r="F77" t="s">
        <v>170</v>
      </c>
      <c r="J77" s="2" t="str">
        <f>IF(G77="","",VLOOKUP(G77,[1]ISO辞書!A:B,2,FALSE))</f>
        <v/>
      </c>
      <c r="K77" s="2" t="str">
        <f>IF(H77="","",VLOOKUP(H77,[1]ISO辞書!A:B,2,FALSE))</f>
        <v/>
      </c>
      <c r="L77" s="2" t="str">
        <f>IF(I77="","",VLOOKUP(I77,[1]ISO辞書!A:B,2,FALSE))</f>
        <v/>
      </c>
      <c r="M77" s="3" t="str">
        <f t="shared" si="1"/>
        <v/>
      </c>
      <c r="N77" t="s">
        <v>165</v>
      </c>
      <c r="O77" t="s">
        <v>79</v>
      </c>
      <c r="P77" s="1">
        <v>46115</v>
      </c>
      <c r="Q77" t="s">
        <v>159</v>
      </c>
      <c r="R77" t="s">
        <v>349</v>
      </c>
      <c r="S77">
        <v>3</v>
      </c>
    </row>
    <row r="78" spans="1:19" hidden="1">
      <c r="A78" s="2" t="str">
        <f>IF(C78="","",VLOOKUP(C78,[1]ISO辞書!A:C,2,FALSE))</f>
        <v>RUS</v>
      </c>
      <c r="B78" s="3" t="str">
        <f>IF(C78="","",VLOOKUP(C78,[1]ISO辞書!A:C,3,FALSE))</f>
        <v>Russian Federation</v>
      </c>
      <c r="C78" t="s">
        <v>388</v>
      </c>
      <c r="D78" s="7" t="s">
        <v>389</v>
      </c>
      <c r="F78" t="s">
        <v>365</v>
      </c>
      <c r="G78" t="s">
        <v>367</v>
      </c>
      <c r="H78" t="s">
        <v>368</v>
      </c>
      <c r="J78" s="2" t="str">
        <f>IF(G78="","",VLOOKUP(G78,[1]ISO辞書!A:B,2,FALSE))</f>
        <v>IRN</v>
      </c>
      <c r="K78" s="2" t="str">
        <f>IF(H78="","",VLOOKUP(H78,[1]ISO辞書!A:B,2,FALSE))</f>
        <v>USA</v>
      </c>
      <c r="L78" s="2" t="str">
        <f>IF(I78="","",VLOOKUP(I78,[1]ISO辞書!A:B,2,FALSE))</f>
        <v/>
      </c>
      <c r="M78" s="3" t="str">
        <f t="shared" si="1"/>
        <v>IRN;USA</v>
      </c>
      <c r="N78" t="s">
        <v>338</v>
      </c>
      <c r="O78" t="s">
        <v>69</v>
      </c>
      <c r="P78" s="1">
        <v>46115</v>
      </c>
      <c r="Q78" t="s">
        <v>360</v>
      </c>
      <c r="R78" t="s">
        <v>390</v>
      </c>
      <c r="S78">
        <v>4</v>
      </c>
    </row>
    <row r="79" spans="1:19" hidden="1">
      <c r="A79" s="2" t="str">
        <f>IF(C79="","",VLOOKUP(C79,[1]ISO辞書!A:C,2,FALSE))</f>
        <v>MMR</v>
      </c>
      <c r="B79" s="3" t="str">
        <f>IF(C79="","",VLOOKUP(C79,[1]ISO辞書!A:C,3,FALSE))</f>
        <v>Myanmar</v>
      </c>
      <c r="C79" t="s">
        <v>391</v>
      </c>
      <c r="D79" s="7" t="s">
        <v>392</v>
      </c>
      <c r="E79" t="s">
        <v>393</v>
      </c>
      <c r="F79" t="s">
        <v>374</v>
      </c>
      <c r="J79" s="2" t="str">
        <f>IF(G79="","",VLOOKUP(G79,[1]ISO辞書!A:B,2,FALSE))</f>
        <v/>
      </c>
      <c r="K79" s="2" t="str">
        <f>IF(H79="","",VLOOKUP(H79,[1]ISO辞書!A:B,2,FALSE))</f>
        <v/>
      </c>
      <c r="L79" s="2" t="str">
        <f>IF(I79="","",VLOOKUP(I79,[1]ISO辞書!A:B,2,FALSE))</f>
        <v/>
      </c>
      <c r="M79" s="3" t="str">
        <f t="shared" si="1"/>
        <v/>
      </c>
      <c r="N79" t="s">
        <v>165</v>
      </c>
      <c r="O79" t="s">
        <v>79</v>
      </c>
      <c r="P79" s="1">
        <v>46115</v>
      </c>
      <c r="Q79" t="s">
        <v>360</v>
      </c>
      <c r="R79" t="s">
        <v>394</v>
      </c>
      <c r="S79">
        <v>2</v>
      </c>
    </row>
    <row r="80" spans="1:19" hidden="1">
      <c r="A80" s="2" t="str">
        <f>IF(C80="","",VLOOKUP(C80,[1]ISO辞書!A:C,2,FALSE))</f>
        <v>AFG</v>
      </c>
      <c r="B80" s="3" t="str">
        <f>IF(C80="","",VLOOKUP(C80,[1]ISO辞書!A:C,3,FALSE))</f>
        <v>Afghanistan</v>
      </c>
      <c r="C80" t="s">
        <v>411</v>
      </c>
      <c r="D80" s="7" t="s">
        <v>412</v>
      </c>
      <c r="F80" t="s">
        <v>413</v>
      </c>
      <c r="J80" s="2" t="str">
        <f>IF(G80="","",VLOOKUP(G80,[1]ISO辞書!A:B,2,FALSE))</f>
        <v/>
      </c>
      <c r="K80" s="2" t="str">
        <f>IF(H80="","",VLOOKUP(H80,[1]ISO辞書!A:B,2,FALSE))</f>
        <v/>
      </c>
      <c r="L80" s="2" t="str">
        <f>IF(I80="","",VLOOKUP(I80,[1]ISO辞書!A:B,2,FALSE))</f>
        <v/>
      </c>
      <c r="M80" s="3" t="str">
        <f t="shared" si="1"/>
        <v/>
      </c>
      <c r="N80" t="s">
        <v>226</v>
      </c>
      <c r="O80" t="s">
        <v>80</v>
      </c>
      <c r="P80" s="1">
        <v>46115</v>
      </c>
      <c r="Q80" t="s">
        <v>405</v>
      </c>
      <c r="R80" t="s">
        <v>414</v>
      </c>
      <c r="S80">
        <v>2</v>
      </c>
    </row>
    <row r="81" spans="1:19" hidden="1">
      <c r="A81" s="2" t="str">
        <f>IF(C81="","",VLOOKUP(C81,[1]ISO辞書!A:C,2,FALSE))</f>
        <v>GRC</v>
      </c>
      <c r="B81" s="3" t="str">
        <f>IF(C81="","",VLOOKUP(C81,[1]ISO辞書!A:C,3,FALSE))</f>
        <v>Greece</v>
      </c>
      <c r="C81" t="s">
        <v>415</v>
      </c>
      <c r="D81" s="7" t="s">
        <v>416</v>
      </c>
      <c r="F81" t="s">
        <v>374</v>
      </c>
      <c r="J81" s="2" t="str">
        <f>IF(G81="","",VLOOKUP(G81,[1]ISO辞書!A:B,2,FALSE))</f>
        <v/>
      </c>
      <c r="K81" s="2" t="str">
        <f>IF(H81="","",VLOOKUP(H81,[1]ISO辞書!A:B,2,FALSE))</f>
        <v/>
      </c>
      <c r="L81" s="2" t="str">
        <f>IF(I81="","",VLOOKUP(I81,[1]ISO辞書!A:B,2,FALSE))</f>
        <v/>
      </c>
      <c r="M81" s="3" t="str">
        <f t="shared" si="1"/>
        <v/>
      </c>
      <c r="N81" t="s">
        <v>165</v>
      </c>
      <c r="O81" t="s">
        <v>79</v>
      </c>
      <c r="P81" s="1">
        <v>46115</v>
      </c>
      <c r="Q81" t="s">
        <v>405</v>
      </c>
      <c r="R81" t="s">
        <v>417</v>
      </c>
      <c r="S81">
        <v>2</v>
      </c>
    </row>
    <row r="82" spans="1:19" hidden="1">
      <c r="A82" s="2" t="str">
        <f>IF(C82="","",VLOOKUP(C82,[1]ISO辞書!A:C,2,FALSE))</f>
        <v>UKR</v>
      </c>
      <c r="B82" s="3" t="str">
        <f>IF(C82="","",VLOOKUP(C82,[1]ISO辞書!A:C,3,FALSE))</f>
        <v>Ukraine</v>
      </c>
      <c r="C82" t="s">
        <v>202</v>
      </c>
      <c r="D82" s="7" t="s">
        <v>277</v>
      </c>
      <c r="E82" t="s">
        <v>278</v>
      </c>
      <c r="F82" t="s">
        <v>279</v>
      </c>
      <c r="G82" t="s">
        <v>280</v>
      </c>
      <c r="J82" s="2" t="str">
        <f>IF(G82="","",VLOOKUP(G82,[1]ISO辞書!A:B,2,FALSE))</f>
        <v>TUR</v>
      </c>
      <c r="K82" s="2" t="str">
        <f>IF(H82="","",VLOOKUP(H82,[1]ISO辞書!A:B,2,FALSE))</f>
        <v/>
      </c>
      <c r="L82" s="2" t="str">
        <f>IF(I82="","",VLOOKUP(I82,[1]ISO辞書!A:B,2,FALSE))</f>
        <v/>
      </c>
      <c r="M82" s="3" t="str">
        <f t="shared" si="1"/>
        <v>TUR</v>
      </c>
      <c r="N82" t="s">
        <v>257</v>
      </c>
      <c r="O82" t="s">
        <v>74</v>
      </c>
      <c r="P82" s="1">
        <v>46116</v>
      </c>
      <c r="Q82" t="s">
        <v>159</v>
      </c>
      <c r="R82" s="5" t="s">
        <v>281</v>
      </c>
      <c r="S82">
        <v>4</v>
      </c>
    </row>
    <row r="83" spans="1:19" hidden="1">
      <c r="A83" s="2" t="str">
        <f>IF(C83="","",VLOOKUP(C83,[1]ISO辞書!A:C,2,FALSE))</f>
        <v>IRN</v>
      </c>
      <c r="B83" s="3" t="str">
        <f>IF(C83="","",VLOOKUP(C83,[1]ISO辞書!A:C,3,FALSE))</f>
        <v>Iran</v>
      </c>
      <c r="C83" t="s">
        <v>188</v>
      </c>
      <c r="D83" s="7" t="s">
        <v>304</v>
      </c>
      <c r="F83" t="s">
        <v>170</v>
      </c>
      <c r="J83" s="2" t="str">
        <f>IF(G83="","",VLOOKUP(G83,[1]ISO辞書!A:B,2,FALSE))</f>
        <v/>
      </c>
      <c r="K83" s="2" t="str">
        <f>IF(H83="","",VLOOKUP(H83,[1]ISO辞書!A:B,2,FALSE))</f>
        <v/>
      </c>
      <c r="L83" s="2" t="str">
        <f>IF(I83="","",VLOOKUP(I83,[1]ISO辞書!A:B,2,FALSE))</f>
        <v/>
      </c>
      <c r="M83" s="3" t="str">
        <f t="shared" si="1"/>
        <v/>
      </c>
      <c r="N83" t="s">
        <v>165</v>
      </c>
      <c r="O83" t="s">
        <v>79</v>
      </c>
      <c r="P83" s="1">
        <v>46116</v>
      </c>
      <c r="Q83" t="s">
        <v>159</v>
      </c>
      <c r="R83" t="s">
        <v>305</v>
      </c>
      <c r="S83">
        <v>3</v>
      </c>
    </row>
    <row r="84" spans="1:19">
      <c r="A84" s="2" t="str">
        <f>IF(C84="","",VLOOKUP(C84,[1]ISO辞書!A:C,2,FALSE))</f>
        <v>IND</v>
      </c>
      <c r="B84" s="3" t="str">
        <f>IF(C84="","",VLOOKUP(C84,[1]ISO辞書!A:C,3,FALSE))</f>
        <v>India</v>
      </c>
      <c r="C84" t="s">
        <v>306</v>
      </c>
      <c r="D84" s="6" t="s">
        <v>307</v>
      </c>
      <c r="F84" t="s">
        <v>279</v>
      </c>
      <c r="G84" t="s">
        <v>188</v>
      </c>
      <c r="J84" s="2" t="str">
        <f>IF(G84="","",VLOOKUP(G84,[1]ISO辞書!A:B,2,FALSE))</f>
        <v>IRN</v>
      </c>
      <c r="K84" s="2" t="str">
        <f>IF(H84="","",VLOOKUP(H84,[1]ISO辞書!A:B,2,FALSE))</f>
        <v/>
      </c>
      <c r="L84" s="2" t="str">
        <f>IF(I84="","",VLOOKUP(I84,[1]ISO辞書!A:B,2,FALSE))</f>
        <v/>
      </c>
      <c r="M84" s="3" t="str">
        <f t="shared" si="1"/>
        <v>IRN</v>
      </c>
      <c r="N84" t="s">
        <v>264</v>
      </c>
      <c r="O84" t="s">
        <v>179</v>
      </c>
      <c r="P84" s="1">
        <v>46116</v>
      </c>
      <c r="Q84" t="s">
        <v>159</v>
      </c>
      <c r="R84" t="s">
        <v>308</v>
      </c>
      <c r="S84">
        <v>4</v>
      </c>
    </row>
    <row r="85" spans="1:19" hidden="1">
      <c r="A85" s="2" t="str">
        <f>IF(C85="","",VLOOKUP(C85,[1]ISO辞書!A:C,2,FALSE))</f>
        <v>COD</v>
      </c>
      <c r="B85" s="3" t="str">
        <f>IF(C85="","",VLOOKUP(C85,[1]ISO辞書!A:C,3,FALSE))</f>
        <v>Democratic Republic of the Congo</v>
      </c>
      <c r="C85" t="s">
        <v>376</v>
      </c>
      <c r="D85" s="7" t="s">
        <v>377</v>
      </c>
      <c r="E85" t="s">
        <v>378</v>
      </c>
      <c r="F85" t="s">
        <v>379</v>
      </c>
      <c r="G85" t="s">
        <v>368</v>
      </c>
      <c r="J85" s="2" t="str">
        <f>IF(G85="","",VLOOKUP(G85,[1]ISO辞書!A:B,2,FALSE))</f>
        <v>USA</v>
      </c>
      <c r="K85" s="2" t="str">
        <f>IF(H85="","",VLOOKUP(H85,[1]ISO辞書!A:B,2,FALSE))</f>
        <v/>
      </c>
      <c r="L85" s="2" t="str">
        <f>IF(I85="","",VLOOKUP(I85,[1]ISO辞書!A:B,2,FALSE))</f>
        <v/>
      </c>
      <c r="M85" s="3" t="str">
        <f t="shared" si="1"/>
        <v>USA</v>
      </c>
      <c r="N85" t="s">
        <v>257</v>
      </c>
      <c r="O85" t="s">
        <v>53</v>
      </c>
      <c r="P85" s="1">
        <v>46117</v>
      </c>
      <c r="Q85" t="s">
        <v>360</v>
      </c>
      <c r="R85" t="s">
        <v>380</v>
      </c>
      <c r="S85">
        <v>4</v>
      </c>
    </row>
    <row r="86" spans="1:19" hidden="1">
      <c r="A86" s="2" t="str">
        <f>IF(C86="","",VLOOKUP(C86,[1]ISO辞書!A:C,2,FALSE))</f>
        <v>IRN</v>
      </c>
      <c r="B86" s="3" t="str">
        <f>IF(C86="","",VLOOKUP(C86,[1]ISO辞書!A:C,3,FALSE))</f>
        <v>Iran</v>
      </c>
      <c r="C86" t="s">
        <v>367</v>
      </c>
      <c r="D86" s="7" t="s">
        <v>381</v>
      </c>
      <c r="E86" t="s">
        <v>382</v>
      </c>
      <c r="F86" t="s">
        <v>365</v>
      </c>
      <c r="G86" t="s">
        <v>383</v>
      </c>
      <c r="J86" s="2" t="str">
        <f>IF(G86="","",VLOOKUP(G86,[1]ISO辞書!A:B,2,FALSE))</f>
        <v>ARE</v>
      </c>
      <c r="K86" s="2" t="str">
        <f>IF(H86="","",VLOOKUP(H86,[1]ISO辞書!A:B,2,FALSE))</f>
        <v/>
      </c>
      <c r="L86" s="2" t="str">
        <f>IF(I86="","",VLOOKUP(I86,[1]ISO辞書!A:B,2,FALSE))</f>
        <v/>
      </c>
      <c r="M86" s="3" t="str">
        <f t="shared" si="1"/>
        <v>ARE</v>
      </c>
      <c r="N86" t="s">
        <v>264</v>
      </c>
      <c r="O86" t="s">
        <v>69</v>
      </c>
      <c r="P86" s="1">
        <v>46117</v>
      </c>
      <c r="Q86" t="s">
        <v>360</v>
      </c>
      <c r="R86" t="s">
        <v>384</v>
      </c>
      <c r="S86">
        <v>4</v>
      </c>
    </row>
    <row r="87" spans="1:19" hidden="1">
      <c r="A87" s="2" t="str">
        <f>IF(C87="","",VLOOKUP(C87,[1]ISO辞書!A:C,2,FALSE))</f>
        <v>USA</v>
      </c>
      <c r="B87" s="3" t="str">
        <f>IF(C87="","",VLOOKUP(C87,[1]ISO辞書!A:C,3,FALSE))</f>
        <v>America</v>
      </c>
      <c r="C87" t="s">
        <v>368</v>
      </c>
      <c r="D87" s="7" t="s">
        <v>385</v>
      </c>
      <c r="E87" t="s">
        <v>386</v>
      </c>
      <c r="F87" t="s">
        <v>365</v>
      </c>
      <c r="G87" t="s">
        <v>367</v>
      </c>
      <c r="J87" s="2" t="str">
        <f>IF(G87="","",VLOOKUP(G87,[1]ISO辞書!A:B,2,FALSE))</f>
        <v>IRN</v>
      </c>
      <c r="K87" s="2" t="str">
        <f>IF(H87="","",VLOOKUP(H87,[1]ISO辞書!A:B,2,FALSE))</f>
        <v/>
      </c>
      <c r="L87" s="2" t="str">
        <f>IF(I87="","",VLOOKUP(I87,[1]ISO辞書!A:B,2,FALSE))</f>
        <v/>
      </c>
      <c r="M87" s="3" t="str">
        <f t="shared" si="1"/>
        <v>IRN</v>
      </c>
      <c r="N87" t="s">
        <v>165</v>
      </c>
      <c r="O87" t="s">
        <v>79</v>
      </c>
      <c r="P87" s="1">
        <v>46117</v>
      </c>
      <c r="Q87" t="s">
        <v>360</v>
      </c>
      <c r="R87" t="s">
        <v>387</v>
      </c>
      <c r="S87">
        <v>3</v>
      </c>
    </row>
    <row r="88" spans="1:19" hidden="1">
      <c r="A88" s="2" t="str">
        <f>IF(C88="","",VLOOKUP(C88,[1]ISO辞書!A:C,2,FALSE))</f>
        <v>UKR</v>
      </c>
      <c r="B88" s="3" t="str">
        <f>IF(C88="","",VLOOKUP(C88,[1]ISO辞書!A:C,3,FALSE))</f>
        <v>Ukraine</v>
      </c>
      <c r="C88" t="s">
        <v>418</v>
      </c>
      <c r="D88" s="7" t="s">
        <v>419</v>
      </c>
      <c r="E88" t="s">
        <v>420</v>
      </c>
      <c r="F88" t="s">
        <v>365</v>
      </c>
      <c r="G88" t="s">
        <v>388</v>
      </c>
      <c r="J88" s="2" t="str">
        <f>IF(G88="","",VLOOKUP(G88,[1]ISO辞書!A:B,2,FALSE))</f>
        <v>RUS</v>
      </c>
      <c r="K88" s="2" t="str">
        <f>IF(H88="","",VLOOKUP(H88,[1]ISO辞書!A:B,2,FALSE))</f>
        <v/>
      </c>
      <c r="L88" s="2" t="str">
        <f>IF(I88="","",VLOOKUP(I88,[1]ISO辞書!A:B,2,FALSE))</f>
        <v/>
      </c>
      <c r="M88" s="3" t="str">
        <f t="shared" si="1"/>
        <v>RUS</v>
      </c>
      <c r="N88" t="s">
        <v>158</v>
      </c>
      <c r="O88" t="s">
        <v>69</v>
      </c>
      <c r="P88" s="1">
        <v>46117</v>
      </c>
      <c r="Q88" t="s">
        <v>405</v>
      </c>
      <c r="R88" t="s">
        <v>421</v>
      </c>
      <c r="S88">
        <v>3</v>
      </c>
    </row>
    <row r="89" spans="1:19">
      <c r="A89" s="2" t="str">
        <f>IF(C89="","",VLOOKUP(C89,[1]ISO辞書!A:C,2,FALSE))</f>
        <v>UKR</v>
      </c>
      <c r="B89" s="3" t="str">
        <f>IF(C89="","",VLOOKUP(C89,[1]ISO辞書!A:C,3,FALSE))</f>
        <v>Ukraine</v>
      </c>
      <c r="C89" t="s">
        <v>418</v>
      </c>
      <c r="D89" s="6" t="s">
        <v>433</v>
      </c>
      <c r="E89" t="s">
        <v>434</v>
      </c>
      <c r="F89" t="s">
        <v>435</v>
      </c>
      <c r="G89" t="s">
        <v>436</v>
      </c>
      <c r="J89" s="2" t="str">
        <f>IF(G89="","",VLOOKUP(G89,[1]ISO辞書!A:B,2,FALSE))</f>
        <v>SYR</v>
      </c>
      <c r="K89" s="2" t="str">
        <f>IF(H89="","",VLOOKUP(H89,[1]ISO辞書!A:B,2,FALSE))</f>
        <v/>
      </c>
      <c r="L89" s="2" t="str">
        <f>IF(I89="","",VLOOKUP(I89,[1]ISO辞書!A:B,2,FALSE))</f>
        <v/>
      </c>
      <c r="M89" s="3" t="str">
        <f t="shared" si="1"/>
        <v>SYR</v>
      </c>
      <c r="N89" t="s">
        <v>257</v>
      </c>
      <c r="O89" t="s">
        <v>74</v>
      </c>
      <c r="P89" s="1">
        <v>46117</v>
      </c>
      <c r="Q89" t="s">
        <v>405</v>
      </c>
      <c r="R89" t="s">
        <v>437</v>
      </c>
      <c r="S89">
        <v>4</v>
      </c>
    </row>
    <row r="90" spans="1:19" hidden="1">
      <c r="A90" s="2" t="str">
        <f>IF(C90="","",VLOOKUP(C90,[1]ISO辞書!A:C,2,FALSE))</f>
        <v>USA</v>
      </c>
      <c r="B90" s="3" t="str">
        <f>IF(C90="","",VLOOKUP(C90,[1]ISO辞書!A:C,3,FALSE))</f>
        <v>America</v>
      </c>
      <c r="C90" t="s">
        <v>368</v>
      </c>
      <c r="D90" s="7" t="s">
        <v>428</v>
      </c>
      <c r="E90" t="s">
        <v>429</v>
      </c>
      <c r="F90" t="s">
        <v>365</v>
      </c>
      <c r="G90" t="s">
        <v>367</v>
      </c>
      <c r="J90" s="2" t="str">
        <f>IF(G90="","",VLOOKUP(G90,[1]ISO辞書!A:B,2,FALSE))</f>
        <v>IRN</v>
      </c>
      <c r="K90" s="2" t="str">
        <f>IF(H90="","",VLOOKUP(H90,[1]ISO辞書!A:B,2,FALSE))</f>
        <v/>
      </c>
      <c r="L90" s="2" t="str">
        <f>IF(I90="","",VLOOKUP(I90,[1]ISO辞書!A:B,2,FALSE))</f>
        <v/>
      </c>
      <c r="M90" s="3" t="str">
        <f t="shared" si="1"/>
        <v>IRN</v>
      </c>
      <c r="N90" t="s">
        <v>158</v>
      </c>
      <c r="O90" t="s">
        <v>69</v>
      </c>
      <c r="P90" s="1">
        <v>46118</v>
      </c>
      <c r="Q90" t="s">
        <v>405</v>
      </c>
      <c r="R90" s="5" t="s">
        <v>430</v>
      </c>
      <c r="S90">
        <v>4</v>
      </c>
    </row>
    <row r="91" spans="1:19" hidden="1">
      <c r="A91" s="2" t="str">
        <f>IF(C91="","",VLOOKUP(C91,[1]ISO辞書!A:C,2,FALSE))</f>
        <v>IRN</v>
      </c>
      <c r="B91" s="3" t="str">
        <f>IF(C91="","",VLOOKUP(C91,[1]ISO辞書!A:C,3,FALSE))</f>
        <v>Iran</v>
      </c>
      <c r="C91" t="s">
        <v>367</v>
      </c>
      <c r="D91" s="7" t="s">
        <v>431</v>
      </c>
      <c r="F91" t="s">
        <v>365</v>
      </c>
      <c r="G91" t="s">
        <v>368</v>
      </c>
      <c r="J91" s="2" t="str">
        <f>IF(G91="","",VLOOKUP(G91,[1]ISO辞書!A:B,2,FALSE))</f>
        <v>USA</v>
      </c>
      <c r="K91" s="2" t="str">
        <f>IF(H91="","",VLOOKUP(H91,[1]ISO辞書!A:B,2,FALSE))</f>
        <v/>
      </c>
      <c r="L91" s="2" t="str">
        <f>IF(I91="","",VLOOKUP(I91,[1]ISO辞書!A:B,2,FALSE))</f>
        <v/>
      </c>
      <c r="M91" s="3" t="str">
        <f t="shared" si="1"/>
        <v>USA</v>
      </c>
      <c r="N91" t="s">
        <v>158</v>
      </c>
      <c r="O91" t="s">
        <v>69</v>
      </c>
      <c r="P91" s="1">
        <v>46118</v>
      </c>
      <c r="Q91" t="s">
        <v>405</v>
      </c>
      <c r="R91" t="s">
        <v>432</v>
      </c>
      <c r="S91">
        <v>5</v>
      </c>
    </row>
    <row r="92" spans="1:19">
      <c r="A92" s="2" t="str">
        <f>IF(C92="","",VLOOKUP(C92,[1]ISO辞書!A:C,2,FALSE))</f>
        <v>CHN</v>
      </c>
      <c r="B92" s="3" t="str">
        <f>IF(C92="","",VLOOKUP(C92,[1]ISO辞書!A:C,3,FALSE))</f>
        <v>China</v>
      </c>
      <c r="C92" t="s">
        <v>356</v>
      </c>
      <c r="D92" s="6" t="s">
        <v>357</v>
      </c>
      <c r="E92" t="s">
        <v>358</v>
      </c>
      <c r="F92" t="s">
        <v>359</v>
      </c>
      <c r="J92" s="2" t="str">
        <f>IF(G92="","",VLOOKUP(G92,[1]ISO辞書!A:B,2,FALSE))</f>
        <v/>
      </c>
      <c r="K92" s="2" t="str">
        <f>IF(H92="","",VLOOKUP(H92,[1]ISO辞書!A:B,2,FALSE))</f>
        <v/>
      </c>
      <c r="L92" s="2" t="str">
        <f>IF(I92="","",VLOOKUP(I92,[1]ISO辞書!A:B,2,FALSE))</f>
        <v/>
      </c>
      <c r="M92" s="3" t="str">
        <f t="shared" si="1"/>
        <v/>
      </c>
      <c r="N92" t="s">
        <v>333</v>
      </c>
      <c r="O92" t="s">
        <v>334</v>
      </c>
      <c r="P92" s="1">
        <v>46119</v>
      </c>
      <c r="Q92" t="s">
        <v>360</v>
      </c>
      <c r="R92" t="s">
        <v>361</v>
      </c>
      <c r="S92">
        <v>3</v>
      </c>
    </row>
    <row r="93" spans="1:19" hidden="1">
      <c r="A93" s="2" t="str">
        <f>IF(C93="","",VLOOKUP(C93,[1]ISO辞書!A:C,2,FALSE))</f>
        <v>PAK</v>
      </c>
      <c r="B93" s="3" t="str">
        <f>IF(C93="","",VLOOKUP(C93,[1]ISO辞書!A:C,3,FALSE))</f>
        <v>Pakistan</v>
      </c>
      <c r="C93" t="s">
        <v>362</v>
      </c>
      <c r="D93" s="7" t="s">
        <v>363</v>
      </c>
      <c r="E93" t="s">
        <v>364</v>
      </c>
      <c r="F93" t="s">
        <v>365</v>
      </c>
      <c r="G93" t="s">
        <v>366</v>
      </c>
      <c r="H93" t="s">
        <v>367</v>
      </c>
      <c r="I93" t="s">
        <v>368</v>
      </c>
      <c r="J93" s="2" t="str">
        <f>IF(G93="","",VLOOKUP(G93,[1]ISO辞書!A:B,2,FALSE))</f>
        <v>EGY</v>
      </c>
      <c r="K93" s="2" t="str">
        <f>IF(H93="","",VLOOKUP(H93,[1]ISO辞書!A:B,2,FALSE))</f>
        <v>IRN</v>
      </c>
      <c r="L93" s="2" t="str">
        <f>IF(I93="","",VLOOKUP(I93,[1]ISO辞書!A:B,2,FALSE))</f>
        <v>USA</v>
      </c>
      <c r="M93" s="3" t="str">
        <f t="shared" si="1"/>
        <v>EGY;IRN;USA</v>
      </c>
      <c r="N93" t="s">
        <v>369</v>
      </c>
      <c r="O93" t="s">
        <v>370</v>
      </c>
      <c r="P93" s="1">
        <v>46119</v>
      </c>
      <c r="Q93" t="s">
        <v>360</v>
      </c>
      <c r="R93" t="s">
        <v>371</v>
      </c>
      <c r="S93">
        <v>4</v>
      </c>
    </row>
    <row r="94" spans="1:19" hidden="1">
      <c r="A94" s="2" t="str">
        <f>IF(C94="","",VLOOKUP(C94,[1]ISO辞書!A:C,2,FALSE))</f>
        <v>VNM</v>
      </c>
      <c r="B94" s="3" t="str">
        <f>IF(C94="","",VLOOKUP(C94,[1]ISO辞書!A:C,3,FALSE))</f>
        <v>Viet Nam</v>
      </c>
      <c r="C94" t="s">
        <v>372</v>
      </c>
      <c r="D94" s="7" t="s">
        <v>373</v>
      </c>
      <c r="F94" t="s">
        <v>374</v>
      </c>
      <c r="J94" s="2" t="str">
        <f>IF(G94="","",VLOOKUP(G94,[1]ISO辞書!A:B,2,FALSE))</f>
        <v/>
      </c>
      <c r="K94" s="2" t="str">
        <f>IF(H94="","",VLOOKUP(H94,[1]ISO辞書!A:B,2,FALSE))</f>
        <v/>
      </c>
      <c r="L94" s="2" t="str">
        <f>IF(I94="","",VLOOKUP(I94,[1]ISO辞書!A:B,2,FALSE))</f>
        <v/>
      </c>
      <c r="M94" s="3" t="str">
        <f t="shared" si="1"/>
        <v/>
      </c>
      <c r="N94" t="s">
        <v>165</v>
      </c>
      <c r="O94" t="s">
        <v>79</v>
      </c>
      <c r="P94" s="1">
        <v>46119</v>
      </c>
      <c r="Q94" t="s">
        <v>360</v>
      </c>
      <c r="R94" t="s">
        <v>375</v>
      </c>
      <c r="S94">
        <v>2</v>
      </c>
    </row>
    <row r="95" spans="1:19" hidden="1">
      <c r="A95" s="2" t="str">
        <f>IF(C95="","",VLOOKUP(C95,[1]ISO辞書!A:C,2,FALSE))</f>
        <v>SSD</v>
      </c>
      <c r="B95" s="3" t="str">
        <f>IF(C95="","",VLOOKUP(C95,[1]ISO辞書!A:C,3,FALSE))</f>
        <v>South Sudan</v>
      </c>
      <c r="C95" t="s">
        <v>403</v>
      </c>
      <c r="D95" s="7" t="s">
        <v>404</v>
      </c>
      <c r="F95" t="s">
        <v>374</v>
      </c>
      <c r="J95" s="2" t="str">
        <f>IF(G95="","",VLOOKUP(G95,[1]ISO辞書!A:B,2,FALSE))</f>
        <v/>
      </c>
      <c r="K95" s="2" t="str">
        <f>IF(H95="","",VLOOKUP(H95,[1]ISO辞書!A:B,2,FALSE))</f>
        <v/>
      </c>
      <c r="L95" s="2" t="str">
        <f>IF(I95="","",VLOOKUP(I95,[1]ISO辞書!A:B,2,FALSE))</f>
        <v/>
      </c>
      <c r="M95" s="3" t="str">
        <f t="shared" si="1"/>
        <v/>
      </c>
      <c r="N95" t="s">
        <v>165</v>
      </c>
      <c r="O95" t="s">
        <v>79</v>
      </c>
      <c r="P95" s="1">
        <v>46119</v>
      </c>
      <c r="Q95" t="s">
        <v>405</v>
      </c>
      <c r="R95" t="s">
        <v>406</v>
      </c>
      <c r="S95">
        <v>2</v>
      </c>
    </row>
    <row r="96" spans="1:19" hidden="1">
      <c r="A96" s="2" t="str">
        <f>IF(C96="","",VLOOKUP(C96,[1]ISO辞書!A:C,2,FALSE))</f>
        <v>IRN</v>
      </c>
      <c r="B96" s="3" t="str">
        <f>IF(C96="","",VLOOKUP(C96,[1]ISO辞書!A:C,3,FALSE))</f>
        <v>Iran</v>
      </c>
      <c r="C96" t="s">
        <v>367</v>
      </c>
      <c r="D96" s="7" t="s">
        <v>422</v>
      </c>
      <c r="F96" t="s">
        <v>365</v>
      </c>
      <c r="G96" t="s">
        <v>423</v>
      </c>
      <c r="J96" s="2" t="str">
        <f>IF(G96="","",VLOOKUP(G96,[1]ISO辞書!A:B,2,FALSE))</f>
        <v>SAU</v>
      </c>
      <c r="K96" s="2" t="str">
        <f>IF(H96="","",VLOOKUP(H96,[1]ISO辞書!A:B,2,FALSE))</f>
        <v/>
      </c>
      <c r="L96" s="2" t="str">
        <f>IF(I96="","",VLOOKUP(I96,[1]ISO辞書!A:B,2,FALSE))</f>
        <v/>
      </c>
      <c r="M96" s="3" t="str">
        <f t="shared" si="1"/>
        <v>SAU</v>
      </c>
      <c r="N96" t="s">
        <v>158</v>
      </c>
      <c r="O96" t="s">
        <v>69</v>
      </c>
      <c r="P96" s="1">
        <v>46119</v>
      </c>
      <c r="Q96" t="s">
        <v>405</v>
      </c>
      <c r="R96" t="s">
        <v>424</v>
      </c>
      <c r="S96">
        <v>4</v>
      </c>
    </row>
    <row r="97" spans="1:19" hidden="1">
      <c r="A97" s="2" t="str">
        <f>IF(C97="","",VLOOKUP(C97,[1]ISO辞書!A:C,2,FALSE))</f>
        <v>USA</v>
      </c>
      <c r="B97" s="3" t="str">
        <f>IF(C97="","",VLOOKUP(C97,[1]ISO辞書!A:C,3,FALSE))</f>
        <v>America</v>
      </c>
      <c r="C97" t="s">
        <v>368</v>
      </c>
      <c r="D97" s="7" t="s">
        <v>425</v>
      </c>
      <c r="E97" t="s">
        <v>426</v>
      </c>
      <c r="F97" t="s">
        <v>365</v>
      </c>
      <c r="G97" t="s">
        <v>367</v>
      </c>
      <c r="J97" s="2" t="str">
        <f>IF(G97="","",VLOOKUP(G97,[1]ISO辞書!A:B,2,FALSE))</f>
        <v>IRN</v>
      </c>
      <c r="K97" s="2" t="str">
        <f>IF(H97="","",VLOOKUP(H97,[1]ISO辞書!A:B,2,FALSE))</f>
        <v/>
      </c>
      <c r="L97" s="2" t="str">
        <f>IF(I97="","",VLOOKUP(I97,[1]ISO辞書!A:B,2,FALSE))</f>
        <v/>
      </c>
      <c r="M97" s="3" t="str">
        <f t="shared" si="1"/>
        <v>IRN</v>
      </c>
      <c r="N97" t="s">
        <v>158</v>
      </c>
      <c r="O97" t="s">
        <v>69</v>
      </c>
      <c r="P97" s="1">
        <v>46119</v>
      </c>
      <c r="Q97" t="s">
        <v>405</v>
      </c>
      <c r="R97" t="s">
        <v>427</v>
      </c>
      <c r="S97">
        <v>4</v>
      </c>
    </row>
    <row r="98" spans="1:19" hidden="1">
      <c r="A98" s="2" t="str">
        <f>IF(C98="","",VLOOKUP(C98,[1]ISO辞書!A:C,2,FALSE))</f>
        <v>IRN</v>
      </c>
      <c r="B98" s="3" t="str">
        <f>IF(C98="","",VLOOKUP(C98,[1]ISO辞書!A:C,3,FALSE))</f>
        <v>Iran</v>
      </c>
      <c r="C98" t="s">
        <v>188</v>
      </c>
      <c r="D98" s="7" t="s">
        <v>460</v>
      </c>
      <c r="F98" t="s">
        <v>441</v>
      </c>
      <c r="G98" t="s">
        <v>284</v>
      </c>
      <c r="J98" s="2" t="str">
        <f>IF(G98="","",VLOOKUP(G98,[1]ISO辞書!A:B,2,FALSE))</f>
        <v>SAU</v>
      </c>
      <c r="K98" s="2" t="str">
        <f>IF(H98="","",VLOOKUP(H98,[1]ISO辞書!A:B,2,FALSE))</f>
        <v/>
      </c>
      <c r="L98" s="2" t="str">
        <f>IF(I98="","",VLOOKUP(I98,[1]ISO辞書!A:B,2,FALSE))</f>
        <v/>
      </c>
      <c r="M98" s="3" t="str">
        <f t="shared" si="1"/>
        <v>SAU</v>
      </c>
      <c r="N98" t="s">
        <v>158</v>
      </c>
      <c r="O98" t="s">
        <v>69</v>
      </c>
      <c r="P98" s="1">
        <v>46119</v>
      </c>
      <c r="Q98" t="s">
        <v>159</v>
      </c>
      <c r="R98" t="s">
        <v>424</v>
      </c>
      <c r="S98">
        <v>3</v>
      </c>
    </row>
    <row r="99" spans="1:19">
      <c r="A99" s="2" t="str">
        <f>IF(C99="","",VLOOKUP(C99,[1]ISO辞書!A:C,2,FALSE))</f>
        <v>USA</v>
      </c>
      <c r="B99" s="3" t="str">
        <f>IF(C99="","",VLOOKUP(C99,[1]ISO辞書!A:C,3,FALSE))</f>
        <v>America</v>
      </c>
      <c r="C99" t="s">
        <v>177</v>
      </c>
      <c r="D99" s="6" t="s">
        <v>442</v>
      </c>
      <c r="E99" t="s">
        <v>443</v>
      </c>
      <c r="F99" t="s">
        <v>156</v>
      </c>
      <c r="G99" t="s">
        <v>188</v>
      </c>
      <c r="H99" t="s">
        <v>225</v>
      </c>
      <c r="J99" s="2" t="str">
        <f>IF(G99="","",VLOOKUP(G99,[1]ISO辞書!A:B,2,FALSE))</f>
        <v>IRN</v>
      </c>
      <c r="K99" s="2" t="str">
        <f>IF(H99="","",VLOOKUP(H99,[1]ISO辞書!A:B,2,FALSE))</f>
        <v>PAK</v>
      </c>
      <c r="L99" s="2" t="str">
        <f>IF(I99="","",VLOOKUP(I99,[1]ISO辞書!A:B,2,FALSE))</f>
        <v/>
      </c>
      <c r="M99" s="3" t="str">
        <f t="shared" si="1"/>
        <v>IRN;PAK</v>
      </c>
      <c r="N99" t="s">
        <v>257</v>
      </c>
      <c r="O99" t="s">
        <v>69</v>
      </c>
      <c r="P99" s="1">
        <v>46120</v>
      </c>
      <c r="Q99" t="s">
        <v>180</v>
      </c>
      <c r="R99" t="s">
        <v>463</v>
      </c>
      <c r="S99">
        <v>5</v>
      </c>
    </row>
    <row r="100" spans="1:19" hidden="1">
      <c r="A100" s="2" t="str">
        <f>IF(C100="","",VLOOKUP(C100,[1]ISO辞書!A:C,2,FALSE))</f>
        <v>JPN</v>
      </c>
      <c r="B100" s="3" t="str">
        <f>IF(C100="","",VLOOKUP(C100,[1]ISO辞書!A:C,3,FALSE))</f>
        <v>Japan</v>
      </c>
      <c r="C100" t="s">
        <v>312</v>
      </c>
      <c r="D100" s="7" t="s">
        <v>448</v>
      </c>
      <c r="E100" t="s">
        <v>449</v>
      </c>
      <c r="F100" t="s">
        <v>156</v>
      </c>
      <c r="G100" t="s">
        <v>188</v>
      </c>
      <c r="J100" s="2" t="str">
        <f>IF(G100="","",VLOOKUP(G100,[1]ISO辞書!A:B,2,FALSE))</f>
        <v>IRN</v>
      </c>
      <c r="K100" s="2" t="str">
        <f>IF(H100="","",VLOOKUP(H100,[1]ISO辞書!A:B,2,FALSE))</f>
        <v/>
      </c>
      <c r="L100" s="2" t="str">
        <f>IF(I100="","",VLOOKUP(I100,[1]ISO辞書!A:B,2,FALSE))</f>
        <v/>
      </c>
      <c r="M100" s="3" t="str">
        <f t="shared" si="1"/>
        <v>IRN</v>
      </c>
      <c r="N100" t="s">
        <v>158</v>
      </c>
      <c r="O100" t="s">
        <v>69</v>
      </c>
      <c r="P100" s="1">
        <v>46120</v>
      </c>
      <c r="Q100" t="s">
        <v>180</v>
      </c>
      <c r="R100" t="s">
        <v>466</v>
      </c>
      <c r="S100">
        <v>4</v>
      </c>
    </row>
    <row r="101" spans="1:19" hidden="1">
      <c r="A101" s="2" t="str">
        <f>IF(C101="","",VLOOKUP(C101,[1]ISO辞書!A:C,2,FALSE))</f>
        <v>MDG</v>
      </c>
      <c r="B101" s="3" t="str">
        <f>IF(C101="","",VLOOKUP(C101,[1]ISO辞書!A:C,3,FALSE))</f>
        <v>Madagascar</v>
      </c>
      <c r="C101" t="s">
        <v>401</v>
      </c>
      <c r="D101" s="7" t="s">
        <v>450</v>
      </c>
      <c r="E101" t="s">
        <v>451</v>
      </c>
      <c r="F101" t="s">
        <v>175</v>
      </c>
      <c r="J101" s="2" t="str">
        <f>IF(G101="","",VLOOKUP(G101,[1]ISO辞書!A:B,2,FALSE))</f>
        <v/>
      </c>
      <c r="K101" s="2" t="str">
        <f>IF(H101="","",VLOOKUP(H101,[1]ISO辞書!A:B,2,FALSE))</f>
        <v/>
      </c>
      <c r="L101" s="2" t="str">
        <f>IF(I101="","",VLOOKUP(I101,[1]ISO辞書!A:B,2,FALSE))</f>
        <v/>
      </c>
      <c r="M101" s="3" t="str">
        <f t="shared" si="1"/>
        <v/>
      </c>
      <c r="N101" t="s">
        <v>165</v>
      </c>
      <c r="O101" t="s">
        <v>79</v>
      </c>
      <c r="P101" s="1">
        <v>46120</v>
      </c>
      <c r="Q101" t="s">
        <v>180</v>
      </c>
      <c r="R101" t="s">
        <v>467</v>
      </c>
      <c r="S101">
        <v>3</v>
      </c>
    </row>
    <row r="102" spans="1:19">
      <c r="A102" s="2" t="str">
        <f>IF(C102="","",VLOOKUP(C102,[1]ISO辞書!A:C,2,FALSE))</f>
        <v>RUS</v>
      </c>
      <c r="B102" s="3" t="str">
        <f>IF(C102="","",VLOOKUP(C102,[1]ISO辞書!A:C,3,FALSE))</f>
        <v>Russian Federation</v>
      </c>
      <c r="C102" t="s">
        <v>176</v>
      </c>
      <c r="D102" s="6" t="s">
        <v>452</v>
      </c>
      <c r="E102" t="s">
        <v>453</v>
      </c>
      <c r="F102" t="s">
        <v>156</v>
      </c>
      <c r="G102" t="s">
        <v>332</v>
      </c>
      <c r="H102" t="s">
        <v>188</v>
      </c>
      <c r="I102" t="s">
        <v>177</v>
      </c>
      <c r="J102" s="2" t="str">
        <f>IF(G102="","",VLOOKUP(G102,[1]ISO辞書!A:B,2,FALSE))</f>
        <v>CHN</v>
      </c>
      <c r="K102" s="2" t="str">
        <f>IF(H102="","",VLOOKUP(H102,[1]ISO辞書!A:B,2,FALSE))</f>
        <v>IRN</v>
      </c>
      <c r="L102" s="2" t="str">
        <f>IF(I102="","",VLOOKUP(I102,[1]ISO辞書!A:B,2,FALSE))</f>
        <v>USA</v>
      </c>
      <c r="M102" s="3" t="str">
        <f t="shared" si="1"/>
        <v>CHN;IRN;USA</v>
      </c>
      <c r="N102" t="s">
        <v>158</v>
      </c>
      <c r="O102" t="s">
        <v>69</v>
      </c>
      <c r="P102" s="1">
        <v>46120</v>
      </c>
      <c r="Q102" t="s">
        <v>180</v>
      </c>
      <c r="R102" t="s">
        <v>468</v>
      </c>
      <c r="S102">
        <v>4</v>
      </c>
    </row>
    <row r="103" spans="1:19" hidden="1">
      <c r="A103" s="2" t="str">
        <f>IF(C103="","",VLOOKUP(C103,[1]ISO辞書!A:C,2,FALSE))</f>
        <v>MEX</v>
      </c>
      <c r="B103" s="3" t="str">
        <f>IF(C103="","",VLOOKUP(C103,[1]ISO辞書!A:C,3,FALSE))</f>
        <v>Mexico</v>
      </c>
      <c r="C103" t="s">
        <v>248</v>
      </c>
      <c r="D103" s="7" t="s">
        <v>454</v>
      </c>
      <c r="F103" t="s">
        <v>170</v>
      </c>
      <c r="J103" s="2" t="str">
        <f>IF(G103="","",VLOOKUP(G103,[1]ISO辞書!A:B,2,FALSE))</f>
        <v/>
      </c>
      <c r="K103" s="2" t="str">
        <f>IF(H103="","",VLOOKUP(H103,[1]ISO辞書!A:B,2,FALSE))</f>
        <v/>
      </c>
      <c r="L103" s="2" t="str">
        <f>IF(I103="","",VLOOKUP(I103,[1]ISO辞書!A:B,2,FALSE))</f>
        <v/>
      </c>
      <c r="M103" s="3" t="str">
        <f t="shared" si="1"/>
        <v/>
      </c>
      <c r="N103" t="s">
        <v>165</v>
      </c>
      <c r="O103" t="s">
        <v>79</v>
      </c>
      <c r="P103" s="1">
        <v>46120</v>
      </c>
      <c r="Q103" t="s">
        <v>159</v>
      </c>
      <c r="R103" t="s">
        <v>469</v>
      </c>
      <c r="S103">
        <v>1</v>
      </c>
    </row>
    <row r="104" spans="1:19" hidden="1">
      <c r="A104" s="2" t="str">
        <f>IF(C104="","",VLOOKUP(C104,[1]ISO辞書!A:C,2,FALSE))</f>
        <v>PRY</v>
      </c>
      <c r="B104" s="3" t="str">
        <f>IF(C104="","",VLOOKUP(C104,[1]ISO辞書!A:C,3,FALSE))</f>
        <v>Paraguay</v>
      </c>
      <c r="C104" t="s">
        <v>182</v>
      </c>
      <c r="D104" s="7" t="s">
        <v>455</v>
      </c>
      <c r="F104" t="s">
        <v>170</v>
      </c>
      <c r="J104" s="2" t="str">
        <f>IF(G104="","",VLOOKUP(G104,[1]ISO辞書!A:B,2,FALSE))</f>
        <v/>
      </c>
      <c r="K104" s="2" t="str">
        <f>IF(H104="","",VLOOKUP(H104,[1]ISO辞書!A:B,2,FALSE))</f>
        <v/>
      </c>
      <c r="L104" s="2" t="str">
        <f>IF(I104="","",VLOOKUP(I104,[1]ISO辞書!A:B,2,FALSE))</f>
        <v/>
      </c>
      <c r="M104" s="3" t="str">
        <f t="shared" si="1"/>
        <v/>
      </c>
      <c r="N104" t="s">
        <v>165</v>
      </c>
      <c r="O104" t="s">
        <v>79</v>
      </c>
      <c r="P104" s="1">
        <v>46120</v>
      </c>
      <c r="Q104" t="s">
        <v>159</v>
      </c>
      <c r="R104" t="s">
        <v>470</v>
      </c>
      <c r="S104">
        <v>1</v>
      </c>
    </row>
    <row r="105" spans="1:19" hidden="1">
      <c r="A105" s="2" t="str">
        <f>IF(C105="","",VLOOKUP(C105,[1]ISO辞書!A:C,2,FALSE))</f>
        <v>PRK</v>
      </c>
      <c r="B105" s="3" t="str">
        <f>IF(C105="","",VLOOKUP(C105,[1]ISO辞書!A:C,3,FALSE))</f>
        <v>North Korea</v>
      </c>
      <c r="C105" t="s">
        <v>456</v>
      </c>
      <c r="D105" s="7" t="s">
        <v>457</v>
      </c>
      <c r="F105" t="s">
        <v>441</v>
      </c>
      <c r="G105" t="s">
        <v>241</v>
      </c>
      <c r="H105" t="s">
        <v>312</v>
      </c>
      <c r="J105" s="2" t="str">
        <f>IF(G105="","",VLOOKUP(G105,[1]ISO辞書!A:B,2,FALSE))</f>
        <v>KOR</v>
      </c>
      <c r="K105" s="2" t="str">
        <f>IF(H105="","",VLOOKUP(H105,[1]ISO辞書!A:B,2,FALSE))</f>
        <v>JPN</v>
      </c>
      <c r="L105" s="2" t="str">
        <f>IF(I105="","",VLOOKUP(I105,[1]ISO辞書!A:B,2,FALSE))</f>
        <v/>
      </c>
      <c r="M105" s="3" t="str">
        <f t="shared" si="1"/>
        <v>KOR;JPN</v>
      </c>
      <c r="N105" t="s">
        <v>158</v>
      </c>
      <c r="O105" t="s">
        <v>25</v>
      </c>
      <c r="P105" s="1">
        <v>46120</v>
      </c>
      <c r="Q105" t="s">
        <v>159</v>
      </c>
      <c r="R105" t="s">
        <v>471</v>
      </c>
      <c r="S105">
        <v>3</v>
      </c>
    </row>
    <row r="106" spans="1:19" hidden="1">
      <c r="A106" s="2" t="str">
        <f>IF(C106="","",VLOOKUP(C106,[1]ISO辞書!A:C,2,FALSE))</f>
        <v>AFG</v>
      </c>
      <c r="B106" s="3" t="str">
        <f>IF(C106="","",VLOOKUP(C106,[1]ISO辞書!A:C,3,FALSE))</f>
        <v>Afghanistan</v>
      </c>
      <c r="C106" t="s">
        <v>221</v>
      </c>
      <c r="D106" s="7" t="s">
        <v>458</v>
      </c>
      <c r="E106" t="s">
        <v>459</v>
      </c>
      <c r="F106" t="s">
        <v>441</v>
      </c>
      <c r="G106" t="s">
        <v>225</v>
      </c>
      <c r="H106" t="s">
        <v>332</v>
      </c>
      <c r="J106" s="2" t="str">
        <f>IF(G106="","",VLOOKUP(G106,[1]ISO辞書!A:B,2,FALSE))</f>
        <v>PAK</v>
      </c>
      <c r="K106" s="2" t="str">
        <f>IF(H106="","",VLOOKUP(H106,[1]ISO辞書!A:B,2,FALSE))</f>
        <v>CHN</v>
      </c>
      <c r="L106" s="2" t="str">
        <f>IF(I106="","",VLOOKUP(I106,[1]ISO辞書!A:B,2,FALSE))</f>
        <v/>
      </c>
      <c r="M106" s="3" t="str">
        <f t="shared" si="1"/>
        <v>PAK;CHN</v>
      </c>
      <c r="N106" t="s">
        <v>257</v>
      </c>
      <c r="O106" t="s">
        <v>25</v>
      </c>
      <c r="P106" s="1">
        <v>46120</v>
      </c>
      <c r="Q106" t="s">
        <v>159</v>
      </c>
      <c r="R106" t="s">
        <v>472</v>
      </c>
      <c r="S106">
        <v>4</v>
      </c>
    </row>
    <row r="107" spans="1:19">
      <c r="A107" s="2" t="str">
        <f>IF(C107="","",VLOOKUP(C107,[1]ISO辞書!A:C,2,FALSE))</f>
        <v>IRN</v>
      </c>
      <c r="B107" s="3" t="str">
        <f>IF(C107="","",VLOOKUP(C107,[1]ISO辞書!A:C,3,FALSE))</f>
        <v>Iran</v>
      </c>
      <c r="C107" t="s">
        <v>188</v>
      </c>
      <c r="D107" s="6" t="s">
        <v>438</v>
      </c>
      <c r="E107" t="s">
        <v>439</v>
      </c>
      <c r="F107" t="s">
        <v>156</v>
      </c>
      <c r="G107" t="s">
        <v>177</v>
      </c>
      <c r="J107" s="2" t="str">
        <f>IF(G107="","",VLOOKUP(G107,[1]ISO辞書!A:B,2,FALSE))</f>
        <v>USA</v>
      </c>
      <c r="K107" s="2" t="str">
        <f>IF(H107="","",VLOOKUP(H107,[1]ISO辞書!A:B,2,FALSE))</f>
        <v/>
      </c>
      <c r="L107" s="2" t="str">
        <f>IF(I107="","",VLOOKUP(I107,[1]ISO辞書!A:B,2,FALSE))</f>
        <v/>
      </c>
      <c r="M107" s="3" t="str">
        <f t="shared" si="1"/>
        <v>USA</v>
      </c>
      <c r="N107" t="s">
        <v>158</v>
      </c>
      <c r="O107" t="s">
        <v>69</v>
      </c>
      <c r="P107" s="1">
        <v>46121</v>
      </c>
      <c r="Q107" t="s">
        <v>180</v>
      </c>
      <c r="R107" t="s">
        <v>461</v>
      </c>
      <c r="S107">
        <v>4</v>
      </c>
    </row>
    <row r="108" spans="1:19" hidden="1">
      <c r="A108" s="2" t="str">
        <f>IF(C108="","",VLOOKUP(C108,[1]ISO辞書!A:C,2,FALSE))</f>
        <v>GBR</v>
      </c>
      <c r="B108" s="3" t="str">
        <f>IF(C108="","",VLOOKUP(C108,[1]ISO辞書!A:C,3,FALSE))</f>
        <v>Britain</v>
      </c>
      <c r="C108" t="s">
        <v>193</v>
      </c>
      <c r="D108" s="7" t="s">
        <v>513</v>
      </c>
      <c r="E108" t="s">
        <v>440</v>
      </c>
      <c r="F108" t="s">
        <v>441</v>
      </c>
      <c r="G108" t="s">
        <v>176</v>
      </c>
      <c r="J108" s="2" t="str">
        <f>IF(G108="","",VLOOKUP(G108,[1]ISO辞書!A:B,2,FALSE))</f>
        <v>RUS</v>
      </c>
      <c r="K108" s="2" t="str">
        <f>IF(H108="","",VLOOKUP(H108,[1]ISO辞書!A:B,2,FALSE))</f>
        <v/>
      </c>
      <c r="L108" s="2" t="str">
        <f>IF(I108="","",VLOOKUP(I108,[1]ISO辞書!A:B,2,FALSE))</f>
        <v/>
      </c>
      <c r="M108" s="3" t="str">
        <f t="shared" si="1"/>
        <v>RUS</v>
      </c>
      <c r="N108" t="s">
        <v>158</v>
      </c>
      <c r="O108" t="s">
        <v>25</v>
      </c>
      <c r="P108" s="1">
        <v>46121</v>
      </c>
      <c r="Q108" t="s">
        <v>180</v>
      </c>
      <c r="R108" t="s">
        <v>462</v>
      </c>
      <c r="S108">
        <v>3</v>
      </c>
    </row>
    <row r="109" spans="1:19" hidden="1">
      <c r="A109" s="2" t="str">
        <f>IF(C109="","",VLOOKUP(C109,[1]ISO辞書!A:C,2,FALSE))</f>
        <v>GBR</v>
      </c>
      <c r="B109" s="3" t="str">
        <f>IF(C109="","",VLOOKUP(C109,[1]ISO辞書!A:C,3,FALSE))</f>
        <v>Britain</v>
      </c>
      <c r="C109" t="s">
        <v>193</v>
      </c>
      <c r="D109" s="7" t="s">
        <v>444</v>
      </c>
      <c r="E109" t="s">
        <v>445</v>
      </c>
      <c r="F109" t="s">
        <v>156</v>
      </c>
      <c r="G109" t="s">
        <v>177</v>
      </c>
      <c r="H109" t="s">
        <v>153</v>
      </c>
      <c r="I109" t="s">
        <v>157</v>
      </c>
      <c r="J109" s="2" t="str">
        <f>IF(G109="","",VLOOKUP(G109,[1]ISO辞書!A:B,2,FALSE))</f>
        <v>USA</v>
      </c>
      <c r="K109" s="2" t="str">
        <f>IF(H109="","",VLOOKUP(H109,[1]ISO辞書!A:B,2,FALSE))</f>
        <v>ISR</v>
      </c>
      <c r="L109" s="2" t="str">
        <f>IF(I109="","",VLOOKUP(I109,[1]ISO辞書!A:B,2,FALSE))</f>
        <v>LBN</v>
      </c>
      <c r="M109" s="3" t="str">
        <f t="shared" si="1"/>
        <v>USA;ISR;LBN</v>
      </c>
      <c r="N109" t="s">
        <v>158</v>
      </c>
      <c r="O109" t="s">
        <v>69</v>
      </c>
      <c r="P109" s="1">
        <v>46121</v>
      </c>
      <c r="Q109" t="s">
        <v>180</v>
      </c>
      <c r="R109" t="s">
        <v>464</v>
      </c>
      <c r="S109">
        <v>4</v>
      </c>
    </row>
    <row r="110" spans="1:19">
      <c r="A110" s="2" t="str">
        <f>IF(C110="","",VLOOKUP(C110,[1]ISO辞書!A:C,2,FALSE))</f>
        <v>ISR</v>
      </c>
      <c r="B110" s="3" t="str">
        <f>IF(C110="","",VLOOKUP(C110,[1]ISO辞書!A:C,3,FALSE))</f>
        <v>Israel</v>
      </c>
      <c r="C110" t="s">
        <v>153</v>
      </c>
      <c r="D110" s="6" t="s">
        <v>446</v>
      </c>
      <c r="E110" t="s">
        <v>447</v>
      </c>
      <c r="F110" t="s">
        <v>156</v>
      </c>
      <c r="G110" t="s">
        <v>157</v>
      </c>
      <c r="J110" s="2" t="str">
        <f>IF(G110="","",VLOOKUP(G110,[1]ISO辞書!A:B,2,FALSE))</f>
        <v>LBN</v>
      </c>
      <c r="K110" s="2" t="str">
        <f>IF(H110="","",VLOOKUP(H110,[1]ISO辞書!A:B,2,FALSE))</f>
        <v/>
      </c>
      <c r="L110" s="2" t="str">
        <f>IF(I110="","",VLOOKUP(I110,[1]ISO辞書!A:B,2,FALSE))</f>
        <v/>
      </c>
      <c r="M110" s="3" t="str">
        <f t="shared" si="1"/>
        <v>LBN</v>
      </c>
      <c r="N110" t="s">
        <v>158</v>
      </c>
      <c r="O110" t="s">
        <v>69</v>
      </c>
      <c r="P110" s="1">
        <v>46121</v>
      </c>
      <c r="Q110" t="s">
        <v>180</v>
      </c>
      <c r="R110" t="s">
        <v>465</v>
      </c>
      <c r="S110">
        <v>5</v>
      </c>
    </row>
    <row r="111" spans="1:19">
      <c r="A111" s="2" t="str">
        <f>IF(C111="","",VLOOKUP(C111,[1]ISO辞書!A:C,2,FALSE))</f>
        <v>ECU</v>
      </c>
      <c r="B111" s="3" t="str">
        <f>IF(C111="","",VLOOKUP(C111,[1]ISO辞書!A:C,3,FALSE))</f>
        <v>Ecuador</v>
      </c>
      <c r="C111" t="s">
        <v>476</v>
      </c>
      <c r="D111" s="6" t="s">
        <v>477</v>
      </c>
      <c r="E111" t="s">
        <v>478</v>
      </c>
      <c r="F111" t="s">
        <v>244</v>
      </c>
      <c r="G111" t="s">
        <v>479</v>
      </c>
      <c r="J111" s="2" t="str">
        <f>IF(G111="","",VLOOKUP(G111,[1]ISO辞書!A:B,2,FALSE))</f>
        <v>COL</v>
      </c>
      <c r="K111" s="2" t="str">
        <f>IF(H111="","",VLOOKUP(H111,[1]ISO辞書!A:B,2,FALSE))</f>
        <v/>
      </c>
      <c r="L111" s="2" t="str">
        <f>IF(I111="","",VLOOKUP(I111,[1]ISO辞書!A:B,2,FALSE))</f>
        <v/>
      </c>
      <c r="M111" s="3" t="str">
        <f t="shared" si="1"/>
        <v>COL</v>
      </c>
      <c r="N111" t="s">
        <v>498</v>
      </c>
      <c r="O111" t="s">
        <v>53</v>
      </c>
      <c r="P111" s="1">
        <v>46121</v>
      </c>
      <c r="Q111" t="s">
        <v>159</v>
      </c>
      <c r="R111" t="s">
        <v>499</v>
      </c>
      <c r="S111">
        <v>3</v>
      </c>
    </row>
    <row r="112" spans="1:19" hidden="1">
      <c r="A112" s="2" t="str">
        <f>IF(C112="","",VLOOKUP(C112,[1]ISO辞書!A:C,2,FALSE))</f>
        <v>VEN</v>
      </c>
      <c r="B112" s="3" t="str">
        <f>IF(C112="","",VLOOKUP(C112,[1]ISO辞書!A:C,3,FALSE))</f>
        <v>Venezuela</v>
      </c>
      <c r="C112" t="s">
        <v>256</v>
      </c>
      <c r="D112" s="7" t="s">
        <v>482</v>
      </c>
      <c r="E112" t="s">
        <v>483</v>
      </c>
      <c r="F112" t="s">
        <v>244</v>
      </c>
      <c r="J112" s="2" t="str">
        <f>IF(G112="","",VLOOKUP(G112,[1]ISO辞書!A:B,2,FALSE))</f>
        <v/>
      </c>
      <c r="K112" s="2" t="str">
        <f>IF(H112="","",VLOOKUP(H112,[1]ISO辞書!A:B,2,FALSE))</f>
        <v/>
      </c>
      <c r="L112" s="2" t="str">
        <f>IF(I112="","",VLOOKUP(I112,[1]ISO辞書!A:B,2,FALSE))</f>
        <v/>
      </c>
      <c r="M112" s="3" t="str">
        <f t="shared" si="1"/>
        <v/>
      </c>
      <c r="N112" t="s">
        <v>502</v>
      </c>
      <c r="O112" t="s">
        <v>334</v>
      </c>
      <c r="P112" s="1">
        <v>46121</v>
      </c>
      <c r="Q112" t="s">
        <v>180</v>
      </c>
      <c r="R112" t="s">
        <v>503</v>
      </c>
      <c r="S112">
        <v>2</v>
      </c>
    </row>
    <row r="113" spans="1:19" hidden="1">
      <c r="A113" s="2" t="str">
        <f>IF(C113="","",VLOOKUP(C113,[1]ISO辞書!A:C,2,FALSE))</f>
        <v>VEN</v>
      </c>
      <c r="B113" s="3" t="str">
        <f>IF(C113="","",VLOOKUP(C113,[1]ISO辞書!A:C,3,FALSE))</f>
        <v>Venezuela</v>
      </c>
      <c r="C113" t="s">
        <v>256</v>
      </c>
      <c r="D113" s="7" t="s">
        <v>484</v>
      </c>
      <c r="F113" t="s">
        <v>400</v>
      </c>
      <c r="G113" t="s">
        <v>485</v>
      </c>
      <c r="J113" s="2" t="str">
        <f>IF(G113="","",VLOOKUP(G113,[1]ISO辞書!A:B,2,FALSE))</f>
        <v>GRD</v>
      </c>
      <c r="K113" s="2" t="str">
        <f>IF(H113="","",VLOOKUP(H113,[1]ISO辞書!A:B,2,FALSE))</f>
        <v/>
      </c>
      <c r="L113" s="2" t="str">
        <f>IF(I113="","",VLOOKUP(I113,[1]ISO辞書!A:B,2,FALSE))</f>
        <v/>
      </c>
      <c r="M113" s="3" t="str">
        <f t="shared" si="1"/>
        <v>GRD</v>
      </c>
      <c r="O113" t="s">
        <v>53</v>
      </c>
      <c r="P113" s="1">
        <v>46121</v>
      </c>
      <c r="Q113" t="s">
        <v>159</v>
      </c>
      <c r="R113" t="s">
        <v>504</v>
      </c>
      <c r="S113">
        <v>2</v>
      </c>
    </row>
    <row r="114" spans="1:19">
      <c r="A114" s="2" t="str">
        <f>IF(C114="","",VLOOKUP(C114,[1]ISO辞書!A:C,2,FALSE))</f>
        <v>ISR</v>
      </c>
      <c r="B114" s="3" t="str">
        <f>IF(C114="","",VLOOKUP(C114,[1]ISO辞書!A:C,3,FALSE))</f>
        <v>Israel</v>
      </c>
      <c r="C114" t="s">
        <v>153</v>
      </c>
      <c r="D114" s="6" t="s">
        <v>492</v>
      </c>
      <c r="E114" t="s">
        <v>493</v>
      </c>
      <c r="F114" t="s">
        <v>170</v>
      </c>
      <c r="J114" s="2" t="str">
        <f>IF(G114="","",VLOOKUP(G114,[1]ISO辞書!A:B,2,FALSE))</f>
        <v/>
      </c>
      <c r="K114" s="2" t="str">
        <f>IF(H114="","",VLOOKUP(H114,[1]ISO辞書!A:B,2,FALSE))</f>
        <v/>
      </c>
      <c r="L114" s="2" t="str">
        <f>IF(I114="","",VLOOKUP(I114,[1]ISO辞書!A:B,2,FALSE))</f>
        <v/>
      </c>
      <c r="M114" s="3" t="str">
        <f t="shared" si="1"/>
        <v/>
      </c>
      <c r="N114" t="s">
        <v>509</v>
      </c>
      <c r="O114" t="s">
        <v>79</v>
      </c>
      <c r="P114" s="1">
        <v>46121</v>
      </c>
      <c r="Q114" t="s">
        <v>159</v>
      </c>
      <c r="R114" t="s">
        <v>510</v>
      </c>
      <c r="S114">
        <v>5</v>
      </c>
    </row>
    <row r="115" spans="1:19" hidden="1">
      <c r="A115" s="2" t="str">
        <f>IF(C115="","",VLOOKUP(C115,[1]ISO辞書!A:C,2,FALSE))</f>
        <v>ISR</v>
      </c>
      <c r="B115" s="3" t="str">
        <f>IF(C115="","",VLOOKUP(C115,[1]ISO辞書!A:C,3,FALSE))</f>
        <v>Israel</v>
      </c>
      <c r="C115" t="s">
        <v>153</v>
      </c>
      <c r="D115" s="7" t="s">
        <v>494</v>
      </c>
      <c r="E115" t="s">
        <v>495</v>
      </c>
      <c r="F115" t="s">
        <v>156</v>
      </c>
      <c r="G115" t="s">
        <v>232</v>
      </c>
      <c r="J115" s="2" t="str">
        <f>IF(G115="","",VLOOKUP(G115,[1]ISO辞書!A:B,2,FALSE))</f>
        <v>PSE</v>
      </c>
      <c r="K115" s="2" t="str">
        <f>IF(H115="","",VLOOKUP(H115,[1]ISO辞書!A:B,2,FALSE))</f>
        <v/>
      </c>
      <c r="L115" s="2" t="str">
        <f>IF(I115="","",VLOOKUP(I115,[1]ISO辞書!A:B,2,FALSE))</f>
        <v/>
      </c>
      <c r="M115" s="3" t="str">
        <f t="shared" si="1"/>
        <v>PSE</v>
      </c>
      <c r="N115" t="s">
        <v>511</v>
      </c>
      <c r="O115" t="s">
        <v>69</v>
      </c>
      <c r="P115" s="1">
        <v>46121</v>
      </c>
      <c r="Q115" t="s">
        <v>159</v>
      </c>
      <c r="R115" t="s">
        <v>512</v>
      </c>
      <c r="S115">
        <v>4</v>
      </c>
    </row>
    <row r="116" spans="1:19">
      <c r="A116" s="2" t="str">
        <f>IF(C116="","",VLOOKUP(C116,[1]ISO辞書!A:C,2,FALSE))</f>
        <v>BRA</v>
      </c>
      <c r="B116" s="3" t="str">
        <f>IF(C116="","",VLOOKUP(C116,[1]ISO辞書!A:C,3,FALSE))</f>
        <v>Brazil</v>
      </c>
      <c r="C116" t="s">
        <v>473</v>
      </c>
      <c r="D116" s="6" t="s">
        <v>474</v>
      </c>
      <c r="E116" t="s">
        <v>475</v>
      </c>
      <c r="F116" t="s">
        <v>196</v>
      </c>
      <c r="G116" t="s">
        <v>177</v>
      </c>
      <c r="J116" s="2" t="str">
        <f>IF(G116="","",VLOOKUP(G116,[1]ISO辞書!A:B,2,FALSE))</f>
        <v>USA</v>
      </c>
      <c r="K116" s="2" t="str">
        <f>IF(H116="","",VLOOKUP(H116,[1]ISO辞書!A:B,2,FALSE))</f>
        <v/>
      </c>
      <c r="L116" s="2" t="str">
        <f>IF(I116="","",VLOOKUP(I116,[1]ISO辞書!A:B,2,FALSE))</f>
        <v/>
      </c>
      <c r="M116" s="3" t="str">
        <f t="shared" si="1"/>
        <v>USA</v>
      </c>
      <c r="N116" t="s">
        <v>496</v>
      </c>
      <c r="O116" t="s">
        <v>53</v>
      </c>
      <c r="P116" s="1">
        <v>46122</v>
      </c>
      <c r="Q116" t="s">
        <v>159</v>
      </c>
      <c r="R116" t="s">
        <v>497</v>
      </c>
      <c r="S116">
        <v>3</v>
      </c>
    </row>
    <row r="117" spans="1:19" hidden="1">
      <c r="A117" s="2" t="str">
        <f>IF(C117="","",VLOOKUP(C117,[1]ISO辞書!A:C,2,FALSE))</f>
        <v>VEN</v>
      </c>
      <c r="B117" s="3" t="str">
        <f>IF(C117="","",VLOOKUP(C117,[1]ISO辞書!A:C,3,FALSE))</f>
        <v>Venezuela</v>
      </c>
      <c r="C117" t="s">
        <v>256</v>
      </c>
      <c r="D117" s="7" t="s">
        <v>480</v>
      </c>
      <c r="E117" t="s">
        <v>481</v>
      </c>
      <c r="F117" t="s">
        <v>170</v>
      </c>
      <c r="J117" s="2" t="str">
        <f>IF(G117="","",VLOOKUP(G117,[1]ISO辞書!A:B,2,FALSE))</f>
        <v/>
      </c>
      <c r="K117" s="2" t="str">
        <f>IF(H117="","",VLOOKUP(H117,[1]ISO辞書!A:B,2,FALSE))</f>
        <v/>
      </c>
      <c r="L117" s="2" t="str">
        <f>IF(I117="","",VLOOKUP(I117,[1]ISO辞書!A:B,2,FALSE))</f>
        <v/>
      </c>
      <c r="M117" s="3" t="str">
        <f t="shared" si="1"/>
        <v/>
      </c>
      <c r="N117" t="s">
        <v>500</v>
      </c>
      <c r="O117" t="s">
        <v>79</v>
      </c>
      <c r="P117" s="1">
        <v>46122</v>
      </c>
      <c r="Q117" t="s">
        <v>159</v>
      </c>
      <c r="R117" t="s">
        <v>501</v>
      </c>
      <c r="S117">
        <v>3</v>
      </c>
    </row>
    <row r="118" spans="1:19" hidden="1">
      <c r="A118" s="2" t="str">
        <f>IF(C118="","",VLOOKUP(C118,[1]ISO辞書!A:C,2,FALSE))</f>
        <v>CHN</v>
      </c>
      <c r="B118" s="3" t="str">
        <f>IF(C118="","",VLOOKUP(C118,[1]ISO辞書!A:C,3,FALSE))</f>
        <v>China</v>
      </c>
      <c r="C118" t="s">
        <v>332</v>
      </c>
      <c r="D118" s="7" t="s">
        <v>486</v>
      </c>
      <c r="E118" t="s">
        <v>487</v>
      </c>
      <c r="F118" t="s">
        <v>400</v>
      </c>
      <c r="G118" t="s">
        <v>456</v>
      </c>
      <c r="J118" s="2" t="str">
        <f>IF(G118="","",VLOOKUP(G118,[1]ISO辞書!A:B,2,FALSE))</f>
        <v>PRK</v>
      </c>
      <c r="K118" s="2" t="str">
        <f>IF(H118="","",VLOOKUP(H118,[1]ISO辞書!A:B,2,FALSE))</f>
        <v/>
      </c>
      <c r="L118" s="2" t="str">
        <f>IF(I118="","",VLOOKUP(I118,[1]ISO辞書!A:B,2,FALSE))</f>
        <v/>
      </c>
      <c r="M118" s="3" t="str">
        <f t="shared" si="1"/>
        <v>PRK</v>
      </c>
      <c r="N118" t="s">
        <v>505</v>
      </c>
      <c r="O118" t="s">
        <v>53</v>
      </c>
      <c r="P118" s="1">
        <v>46122</v>
      </c>
      <c r="Q118" t="s">
        <v>159</v>
      </c>
      <c r="R118" t="s">
        <v>506</v>
      </c>
      <c r="S118">
        <v>4</v>
      </c>
    </row>
    <row r="119" spans="1:19" hidden="1">
      <c r="A119" s="2" t="str">
        <f>IF(C119="","",VLOOKUP(C119,[1]ISO辞書!A:C,2,FALSE))</f>
        <v>AUS</v>
      </c>
      <c r="B119" s="3" t="str">
        <f>IF(C119="","",VLOOKUP(C119,[1]ISO辞書!A:C,3,FALSE))</f>
        <v>Australia</v>
      </c>
      <c r="C119" t="s">
        <v>488</v>
      </c>
      <c r="D119" s="7" t="s">
        <v>489</v>
      </c>
      <c r="E119" t="s">
        <v>490</v>
      </c>
      <c r="F119" t="s">
        <v>400</v>
      </c>
      <c r="G119" t="s">
        <v>491</v>
      </c>
      <c r="J119" s="2" t="str">
        <f>IF(G119="","",VLOOKUP(G119,[1]ISO辞書!A:B,2,FALSE))</f>
        <v>SGP</v>
      </c>
      <c r="K119" s="2" t="str">
        <f>IF(H119="","",VLOOKUP(H119,[1]ISO辞書!A:B,2,FALSE))</f>
        <v/>
      </c>
      <c r="L119" s="2" t="str">
        <f>IF(I119="","",VLOOKUP(I119,[1]ISO辞書!A:B,2,FALSE))</f>
        <v/>
      </c>
      <c r="M119" s="3" t="str">
        <f t="shared" si="1"/>
        <v>SGP</v>
      </c>
      <c r="N119" t="s">
        <v>507</v>
      </c>
      <c r="O119" t="s">
        <v>53</v>
      </c>
      <c r="P119" s="1">
        <v>46122</v>
      </c>
      <c r="Q119" t="s">
        <v>159</v>
      </c>
      <c r="R119" t="s">
        <v>508</v>
      </c>
      <c r="S119">
        <v>3</v>
      </c>
    </row>
    <row r="120" spans="1:19" hidden="1">
      <c r="A120" s="2" t="str">
        <f>IF(C120="","",VLOOKUP(C120,[1]ISO辞書!A:C,2,FALSE))</f>
        <v/>
      </c>
      <c r="B120" s="3" t="str">
        <f>IF(C120="","",VLOOKUP(C120,[1]ISO辞書!A:C,3,FALSE))</f>
        <v/>
      </c>
      <c r="J120" s="2" t="str">
        <f>IF(G120="","",VLOOKUP(G120,[1]ISO辞書!A:B,2,FALSE))</f>
        <v/>
      </c>
      <c r="K120" s="2" t="str">
        <f>IF(H120="","",VLOOKUP(H120,[1]ISO辞書!A:B,2,FALSE))</f>
        <v/>
      </c>
      <c r="L120" s="2" t="str">
        <f>IF(I120="","",VLOOKUP(I120,[1]ISO辞書!A:B,2,FALSE))</f>
        <v/>
      </c>
      <c r="M120" s="3" t="str">
        <f t="shared" si="1"/>
        <v/>
      </c>
    </row>
    <row r="121" spans="1:19" hidden="1">
      <c r="A121" s="2" t="str">
        <f>IF(C121="","",VLOOKUP(C121,[1]ISO辞書!A:C,2,FALSE))</f>
        <v/>
      </c>
      <c r="B121" s="3" t="str">
        <f>IF(C121="","",VLOOKUP(C121,[1]ISO辞書!A:C,3,FALSE))</f>
        <v/>
      </c>
      <c r="J121" s="2" t="str">
        <f>IF(G121="","",VLOOKUP(G121,[1]ISO辞書!A:B,2,FALSE))</f>
        <v/>
      </c>
      <c r="K121" s="2" t="str">
        <f>IF(H121="","",VLOOKUP(H121,[1]ISO辞書!A:B,2,FALSE))</f>
        <v/>
      </c>
      <c r="L121" s="2" t="str">
        <f>IF(I121="","",VLOOKUP(I121,[1]ISO辞書!A:B,2,FALSE))</f>
        <v/>
      </c>
      <c r="M121" s="3" t="str">
        <f t="shared" si="1"/>
        <v/>
      </c>
    </row>
    <row r="122" spans="1:19" hidden="1">
      <c r="A122" s="2" t="str">
        <f>IF(C122="","",VLOOKUP(C122,[1]ISO辞書!A:C,2,FALSE))</f>
        <v/>
      </c>
      <c r="B122" s="3" t="str">
        <f>IF(C122="","",VLOOKUP(C122,[1]ISO辞書!A:C,3,FALSE))</f>
        <v/>
      </c>
      <c r="J122" s="2" t="str">
        <f>IF(G122="","",VLOOKUP(G122,[1]ISO辞書!A:B,2,FALSE))</f>
        <v/>
      </c>
      <c r="K122" s="2" t="str">
        <f>IF(H122="","",VLOOKUP(H122,[1]ISO辞書!A:B,2,FALSE))</f>
        <v/>
      </c>
      <c r="L122" s="2" t="str">
        <f>IF(I122="","",VLOOKUP(I122,[1]ISO辞書!A:B,2,FALSE))</f>
        <v/>
      </c>
      <c r="M122" s="3" t="str">
        <f t="shared" si="1"/>
        <v/>
      </c>
    </row>
    <row r="123" spans="1:19" hidden="1">
      <c r="A123" s="2" t="str">
        <f>IF(C123="","",VLOOKUP(C123,[1]ISO辞書!A:C,2,FALSE))</f>
        <v/>
      </c>
      <c r="B123" s="3" t="str">
        <f>IF(C123="","",VLOOKUP(C123,[1]ISO辞書!A:C,3,FALSE))</f>
        <v/>
      </c>
      <c r="J123" s="2" t="str">
        <f>IF(G123="","",VLOOKUP(G123,[1]ISO辞書!A:B,2,FALSE))</f>
        <v/>
      </c>
      <c r="K123" s="2" t="str">
        <f>IF(H123="","",VLOOKUP(H123,[1]ISO辞書!A:B,2,FALSE))</f>
        <v/>
      </c>
      <c r="L123" s="2" t="str">
        <f>IF(I123="","",VLOOKUP(I123,[1]ISO辞書!A:B,2,FALSE))</f>
        <v/>
      </c>
      <c r="M123" s="3" t="str">
        <f t="shared" si="1"/>
        <v/>
      </c>
    </row>
    <row r="124" spans="1:19" hidden="1">
      <c r="A124" s="2" t="str">
        <f>IF(C124="","",VLOOKUP(C124,[1]ISO辞書!A:C,2,FALSE))</f>
        <v/>
      </c>
      <c r="B124" s="3" t="str">
        <f>IF(C124="","",VLOOKUP(C124,[1]ISO辞書!A:C,3,FALSE))</f>
        <v/>
      </c>
      <c r="J124" s="2" t="str">
        <f>IF(G124="","",VLOOKUP(G124,[1]ISO辞書!A:B,2,FALSE))</f>
        <v/>
      </c>
      <c r="K124" s="2" t="str">
        <f>IF(H124="","",VLOOKUP(H124,[1]ISO辞書!A:B,2,FALSE))</f>
        <v/>
      </c>
      <c r="L124" s="2" t="str">
        <f>IF(I124="","",VLOOKUP(I124,[1]ISO辞書!A:B,2,FALSE))</f>
        <v/>
      </c>
      <c r="M124" s="3" t="str">
        <f t="shared" si="1"/>
        <v/>
      </c>
    </row>
    <row r="125" spans="1:19" hidden="1">
      <c r="A125" s="2" t="str">
        <f>IF(C125="","",VLOOKUP(C125,[1]ISO辞書!A:C,2,FALSE))</f>
        <v/>
      </c>
      <c r="B125" s="3" t="str">
        <f>IF(C125="","",VLOOKUP(C125,[1]ISO辞書!A:C,3,FALSE))</f>
        <v/>
      </c>
      <c r="J125" s="2" t="str">
        <f>IF(G125="","",VLOOKUP(G125,[1]ISO辞書!A:B,2,FALSE))</f>
        <v/>
      </c>
      <c r="K125" s="2" t="str">
        <f>IF(H125="","",VLOOKUP(H125,[1]ISO辞書!A:B,2,FALSE))</f>
        <v/>
      </c>
      <c r="L125" s="2" t="str">
        <f>IF(I125="","",VLOOKUP(I125,[1]ISO辞書!A:B,2,FALSE))</f>
        <v/>
      </c>
      <c r="M125" s="3" t="str">
        <f t="shared" si="1"/>
        <v/>
      </c>
    </row>
    <row r="126" spans="1:19" hidden="1">
      <c r="A126" s="2" t="str">
        <f>IF(C126="","",VLOOKUP(C126,[1]ISO辞書!A:C,2,FALSE))</f>
        <v/>
      </c>
      <c r="B126" s="3" t="str">
        <f>IF(C126="","",VLOOKUP(C126,[1]ISO辞書!A:C,3,FALSE))</f>
        <v/>
      </c>
      <c r="J126" s="2" t="str">
        <f>IF(G126="","",VLOOKUP(G126,[1]ISO辞書!A:B,2,FALSE))</f>
        <v/>
      </c>
      <c r="K126" s="2" t="str">
        <f>IF(H126="","",VLOOKUP(H126,[1]ISO辞書!A:B,2,FALSE))</f>
        <v/>
      </c>
      <c r="L126" s="2" t="str">
        <f>IF(I126="","",VLOOKUP(I126,[1]ISO辞書!A:B,2,FALSE))</f>
        <v/>
      </c>
      <c r="M126" s="3" t="str">
        <f t="shared" si="1"/>
        <v/>
      </c>
    </row>
    <row r="127" spans="1:19" hidden="1">
      <c r="A127" s="2" t="str">
        <f>IF(C127="","",VLOOKUP(C127,[1]ISO辞書!A:C,2,FALSE))</f>
        <v/>
      </c>
      <c r="B127" s="3" t="str">
        <f>IF(C127="","",VLOOKUP(C127,[1]ISO辞書!A:C,3,FALSE))</f>
        <v/>
      </c>
      <c r="J127" s="2" t="str">
        <f>IF(G127="","",VLOOKUP(G127,[1]ISO辞書!A:B,2,FALSE))</f>
        <v/>
      </c>
      <c r="K127" s="2" t="str">
        <f>IF(H127="","",VLOOKUP(H127,[1]ISO辞書!A:B,2,FALSE))</f>
        <v/>
      </c>
      <c r="L127" s="2" t="str">
        <f>IF(I127="","",VLOOKUP(I127,[1]ISO辞書!A:B,2,FALSE))</f>
        <v/>
      </c>
      <c r="M127" s="3" t="str">
        <f t="shared" si="1"/>
        <v/>
      </c>
    </row>
    <row r="128" spans="1:19" hidden="1">
      <c r="A128" s="2" t="str">
        <f>IF(C128="","",VLOOKUP(C128,[1]ISO辞書!A:C,2,FALSE))</f>
        <v/>
      </c>
      <c r="B128" s="3" t="str">
        <f>IF(C128="","",VLOOKUP(C128,[1]ISO辞書!A:C,3,FALSE))</f>
        <v/>
      </c>
      <c r="J128" s="2" t="str">
        <f>IF(G128="","",VLOOKUP(G128,[1]ISO辞書!A:B,2,FALSE))</f>
        <v/>
      </c>
      <c r="K128" s="2" t="str">
        <f>IF(H128="","",VLOOKUP(H128,[1]ISO辞書!A:B,2,FALSE))</f>
        <v/>
      </c>
      <c r="L128" s="2" t="str">
        <f>IF(I128="","",VLOOKUP(I128,[1]ISO辞書!A:B,2,FALSE))</f>
        <v/>
      </c>
      <c r="M128" s="3" t="str">
        <f t="shared" si="1"/>
        <v/>
      </c>
    </row>
    <row r="129" spans="1:13" hidden="1">
      <c r="A129" s="2" t="str">
        <f>IF(C129="","",VLOOKUP(C129,[1]ISO辞書!A:C,2,FALSE))</f>
        <v/>
      </c>
      <c r="B129" s="3" t="str">
        <f>IF(C129="","",VLOOKUP(C129,[1]ISO辞書!A:C,3,FALSE))</f>
        <v/>
      </c>
      <c r="J129" s="2" t="str">
        <f>IF(G129="","",VLOOKUP(G129,[1]ISO辞書!A:B,2,FALSE))</f>
        <v/>
      </c>
      <c r="K129" s="2" t="str">
        <f>IF(H129="","",VLOOKUP(H129,[1]ISO辞書!A:B,2,FALSE))</f>
        <v/>
      </c>
      <c r="L129" s="2" t="str">
        <f>IF(I129="","",VLOOKUP(I129,[1]ISO辞書!A:B,2,FALSE))</f>
        <v/>
      </c>
      <c r="M129" s="3" t="str">
        <f t="shared" si="1"/>
        <v/>
      </c>
    </row>
    <row r="130" spans="1:13" hidden="1">
      <c r="A130" s="2" t="str">
        <f>IF(C130="","",VLOOKUP(C130,[1]ISO辞書!A:C,2,FALSE))</f>
        <v/>
      </c>
      <c r="B130" s="3" t="str">
        <f>IF(C130="","",VLOOKUP(C130,[1]ISO辞書!A:C,3,FALSE))</f>
        <v/>
      </c>
      <c r="J130" s="2" t="str">
        <f>IF(G130="","",VLOOKUP(G130,[1]ISO辞書!A:B,2,FALSE))</f>
        <v/>
      </c>
      <c r="K130" s="2" t="str">
        <f>IF(H130="","",VLOOKUP(H130,[1]ISO辞書!A:B,2,FALSE))</f>
        <v/>
      </c>
      <c r="L130" s="2" t="str">
        <f>IF(I130="","",VLOOKUP(I130,[1]ISO辞書!A:B,2,FALSE))</f>
        <v/>
      </c>
      <c r="M130" s="3" t="str">
        <f t="shared" ref="M130:M193" si="2">_xlfn.TEXTJOIN(";",TRUE,J130:L130)</f>
        <v/>
      </c>
    </row>
    <row r="131" spans="1:13" hidden="1">
      <c r="A131" s="2" t="str">
        <f>IF(C131="","",VLOOKUP(C131,[1]ISO辞書!A:C,2,FALSE))</f>
        <v/>
      </c>
      <c r="B131" s="3" t="str">
        <f>IF(C131="","",VLOOKUP(C131,[1]ISO辞書!A:C,3,FALSE))</f>
        <v/>
      </c>
      <c r="J131" s="2" t="str">
        <f>IF(G131="","",VLOOKUP(G131,[1]ISO辞書!A:B,2,FALSE))</f>
        <v/>
      </c>
      <c r="K131" s="2" t="str">
        <f>IF(H131="","",VLOOKUP(H131,[1]ISO辞書!A:B,2,FALSE))</f>
        <v/>
      </c>
      <c r="L131" s="2" t="str">
        <f>IF(I131="","",VLOOKUP(I131,[1]ISO辞書!A:B,2,FALSE))</f>
        <v/>
      </c>
      <c r="M131" s="3" t="str">
        <f t="shared" si="2"/>
        <v/>
      </c>
    </row>
    <row r="132" spans="1:13" hidden="1">
      <c r="A132" s="2" t="str">
        <f>IF(C132="","",VLOOKUP(C132,[1]ISO辞書!A:C,2,FALSE))</f>
        <v/>
      </c>
      <c r="B132" s="3" t="str">
        <f>IF(C132="","",VLOOKUP(C132,[1]ISO辞書!A:C,3,FALSE))</f>
        <v/>
      </c>
      <c r="J132" s="2" t="str">
        <f>IF(G132="","",VLOOKUP(G132,[1]ISO辞書!A:B,2,FALSE))</f>
        <v/>
      </c>
      <c r="K132" s="2" t="str">
        <f>IF(H132="","",VLOOKUP(H132,[1]ISO辞書!A:B,2,FALSE))</f>
        <v/>
      </c>
      <c r="L132" s="2" t="str">
        <f>IF(I132="","",VLOOKUP(I132,[1]ISO辞書!A:B,2,FALSE))</f>
        <v/>
      </c>
      <c r="M132" s="3" t="str">
        <f t="shared" si="2"/>
        <v/>
      </c>
    </row>
    <row r="133" spans="1:13" hidden="1">
      <c r="A133" s="2" t="str">
        <f>IF(C133="","",VLOOKUP(C133,[1]ISO辞書!A:C,2,FALSE))</f>
        <v/>
      </c>
      <c r="B133" s="3" t="str">
        <f>IF(C133="","",VLOOKUP(C133,[1]ISO辞書!A:C,3,FALSE))</f>
        <v/>
      </c>
      <c r="J133" s="2" t="str">
        <f>IF(G133="","",VLOOKUP(G133,[1]ISO辞書!A:B,2,FALSE))</f>
        <v/>
      </c>
      <c r="K133" s="2" t="str">
        <f>IF(H133="","",VLOOKUP(H133,[1]ISO辞書!A:B,2,FALSE))</f>
        <v/>
      </c>
      <c r="L133" s="2" t="str">
        <f>IF(I133="","",VLOOKUP(I133,[1]ISO辞書!A:B,2,FALSE))</f>
        <v/>
      </c>
      <c r="M133" s="3" t="str">
        <f t="shared" si="2"/>
        <v/>
      </c>
    </row>
    <row r="134" spans="1:13" hidden="1">
      <c r="A134" s="2" t="str">
        <f>IF(C134="","",VLOOKUP(C134,[1]ISO辞書!A:C,2,FALSE))</f>
        <v/>
      </c>
      <c r="B134" s="3" t="str">
        <f>IF(C134="","",VLOOKUP(C134,[1]ISO辞書!A:C,3,FALSE))</f>
        <v/>
      </c>
      <c r="J134" s="2" t="str">
        <f>IF(G134="","",VLOOKUP(G134,[1]ISO辞書!A:B,2,FALSE))</f>
        <v/>
      </c>
      <c r="K134" s="2" t="str">
        <f>IF(H134="","",VLOOKUP(H134,[1]ISO辞書!A:B,2,FALSE))</f>
        <v/>
      </c>
      <c r="L134" s="2" t="str">
        <f>IF(I134="","",VLOOKUP(I134,[1]ISO辞書!A:B,2,FALSE))</f>
        <v/>
      </c>
      <c r="M134" s="3" t="str">
        <f t="shared" si="2"/>
        <v/>
      </c>
    </row>
    <row r="135" spans="1:13" hidden="1">
      <c r="A135" s="2" t="str">
        <f>IF(C135="","",VLOOKUP(C135,[1]ISO辞書!A:C,2,FALSE))</f>
        <v/>
      </c>
      <c r="B135" s="3" t="str">
        <f>IF(C135="","",VLOOKUP(C135,[1]ISO辞書!A:C,3,FALSE))</f>
        <v/>
      </c>
      <c r="J135" s="2" t="str">
        <f>IF(G135="","",VLOOKUP(G135,[1]ISO辞書!A:B,2,FALSE))</f>
        <v/>
      </c>
      <c r="K135" s="2" t="str">
        <f>IF(H135="","",VLOOKUP(H135,[1]ISO辞書!A:B,2,FALSE))</f>
        <v/>
      </c>
      <c r="L135" s="2" t="str">
        <f>IF(I135="","",VLOOKUP(I135,[1]ISO辞書!A:B,2,FALSE))</f>
        <v/>
      </c>
      <c r="M135" s="3" t="str">
        <f t="shared" si="2"/>
        <v/>
      </c>
    </row>
    <row r="136" spans="1:13" hidden="1">
      <c r="A136" s="2" t="str">
        <f>IF(C136="","",VLOOKUP(C136,[1]ISO辞書!A:C,2,FALSE))</f>
        <v/>
      </c>
      <c r="B136" s="3" t="str">
        <f>IF(C136="","",VLOOKUP(C136,[1]ISO辞書!A:C,3,FALSE))</f>
        <v/>
      </c>
      <c r="J136" s="2" t="str">
        <f>IF(G136="","",VLOOKUP(G136,[1]ISO辞書!A:B,2,FALSE))</f>
        <v/>
      </c>
      <c r="K136" s="2" t="str">
        <f>IF(H136="","",VLOOKUP(H136,[1]ISO辞書!A:B,2,FALSE))</f>
        <v/>
      </c>
      <c r="L136" s="2" t="str">
        <f>IF(I136="","",VLOOKUP(I136,[1]ISO辞書!A:B,2,FALSE))</f>
        <v/>
      </c>
      <c r="M136" s="3" t="str">
        <f t="shared" si="2"/>
        <v/>
      </c>
    </row>
    <row r="137" spans="1:13" hidden="1">
      <c r="A137" s="2" t="str">
        <f>IF(C137="","",VLOOKUP(C137,[1]ISO辞書!A:C,2,FALSE))</f>
        <v/>
      </c>
      <c r="B137" s="3" t="str">
        <f>IF(C137="","",VLOOKUP(C137,[1]ISO辞書!A:C,3,FALSE))</f>
        <v/>
      </c>
      <c r="J137" s="2" t="str">
        <f>IF(G137="","",VLOOKUP(G137,[1]ISO辞書!A:B,2,FALSE))</f>
        <v/>
      </c>
      <c r="K137" s="2" t="str">
        <f>IF(H137="","",VLOOKUP(H137,[1]ISO辞書!A:B,2,FALSE))</f>
        <v/>
      </c>
      <c r="L137" s="2" t="str">
        <f>IF(I137="","",VLOOKUP(I137,[1]ISO辞書!A:B,2,FALSE))</f>
        <v/>
      </c>
      <c r="M137" s="3" t="str">
        <f t="shared" si="2"/>
        <v/>
      </c>
    </row>
    <row r="138" spans="1:13" hidden="1">
      <c r="A138" s="2" t="str">
        <f>IF(C138="","",VLOOKUP(C138,[1]ISO辞書!A:C,2,FALSE))</f>
        <v/>
      </c>
      <c r="B138" s="3" t="str">
        <f>IF(C138="","",VLOOKUP(C138,[1]ISO辞書!A:C,3,FALSE))</f>
        <v/>
      </c>
      <c r="J138" s="2" t="str">
        <f>IF(G138="","",VLOOKUP(G138,[1]ISO辞書!A:B,2,FALSE))</f>
        <v/>
      </c>
      <c r="K138" s="2" t="str">
        <f>IF(H138="","",VLOOKUP(H138,[1]ISO辞書!A:B,2,FALSE))</f>
        <v/>
      </c>
      <c r="L138" s="2" t="str">
        <f>IF(I138="","",VLOOKUP(I138,[1]ISO辞書!A:B,2,FALSE))</f>
        <v/>
      </c>
      <c r="M138" s="3" t="str">
        <f t="shared" si="2"/>
        <v/>
      </c>
    </row>
    <row r="139" spans="1:13" hidden="1">
      <c r="A139" s="2" t="str">
        <f>IF(C139="","",VLOOKUP(C139,[1]ISO辞書!A:C,2,FALSE))</f>
        <v/>
      </c>
      <c r="B139" s="3" t="str">
        <f>IF(C139="","",VLOOKUP(C139,[1]ISO辞書!A:C,3,FALSE))</f>
        <v/>
      </c>
      <c r="J139" s="2" t="str">
        <f>IF(G139="","",VLOOKUP(G139,[1]ISO辞書!A:B,2,FALSE))</f>
        <v/>
      </c>
      <c r="K139" s="2" t="str">
        <f>IF(H139="","",VLOOKUP(H139,[1]ISO辞書!A:B,2,FALSE))</f>
        <v/>
      </c>
      <c r="L139" s="2" t="str">
        <f>IF(I139="","",VLOOKUP(I139,[1]ISO辞書!A:B,2,FALSE))</f>
        <v/>
      </c>
      <c r="M139" s="3" t="str">
        <f t="shared" si="2"/>
        <v/>
      </c>
    </row>
    <row r="140" spans="1:13" hidden="1">
      <c r="A140" s="2" t="str">
        <f>IF(C140="","",VLOOKUP(C140,[1]ISO辞書!A:C,2,FALSE))</f>
        <v/>
      </c>
      <c r="B140" s="3" t="str">
        <f>IF(C140="","",VLOOKUP(C140,[1]ISO辞書!A:C,3,FALSE))</f>
        <v/>
      </c>
      <c r="J140" s="2" t="str">
        <f>IF(G140="","",VLOOKUP(G140,[1]ISO辞書!A:B,2,FALSE))</f>
        <v/>
      </c>
      <c r="K140" s="2" t="str">
        <f>IF(H140="","",VLOOKUP(H140,[1]ISO辞書!A:B,2,FALSE))</f>
        <v/>
      </c>
      <c r="L140" s="2" t="str">
        <f>IF(I140="","",VLOOKUP(I140,[1]ISO辞書!A:B,2,FALSE))</f>
        <v/>
      </c>
      <c r="M140" s="3" t="str">
        <f t="shared" si="2"/>
        <v/>
      </c>
    </row>
    <row r="141" spans="1:13" hidden="1">
      <c r="A141" s="2" t="str">
        <f>IF(C141="","",VLOOKUP(C141,[1]ISO辞書!A:C,2,FALSE))</f>
        <v/>
      </c>
      <c r="B141" s="3" t="str">
        <f>IF(C141="","",VLOOKUP(C141,[1]ISO辞書!A:C,3,FALSE))</f>
        <v/>
      </c>
      <c r="J141" s="2" t="str">
        <f>IF(G141="","",VLOOKUP(G141,[1]ISO辞書!A:B,2,FALSE))</f>
        <v/>
      </c>
      <c r="K141" s="2" t="str">
        <f>IF(H141="","",VLOOKUP(H141,[1]ISO辞書!A:B,2,FALSE))</f>
        <v/>
      </c>
      <c r="L141" s="2" t="str">
        <f>IF(I141="","",VLOOKUP(I141,[1]ISO辞書!A:B,2,FALSE))</f>
        <v/>
      </c>
      <c r="M141" s="3" t="str">
        <f t="shared" si="2"/>
        <v/>
      </c>
    </row>
    <row r="142" spans="1:13" hidden="1">
      <c r="A142" s="2" t="str">
        <f>IF(C142="","",VLOOKUP(C142,[1]ISO辞書!A:C,2,FALSE))</f>
        <v/>
      </c>
      <c r="B142" s="3" t="str">
        <f>IF(C142="","",VLOOKUP(C142,[1]ISO辞書!A:C,3,FALSE))</f>
        <v/>
      </c>
      <c r="J142" s="2" t="str">
        <f>IF(G142="","",VLOOKUP(G142,[1]ISO辞書!A:B,2,FALSE))</f>
        <v/>
      </c>
      <c r="K142" s="2" t="str">
        <f>IF(H142="","",VLOOKUP(H142,[1]ISO辞書!A:B,2,FALSE))</f>
        <v/>
      </c>
      <c r="L142" s="2" t="str">
        <f>IF(I142="","",VLOOKUP(I142,[1]ISO辞書!A:B,2,FALSE))</f>
        <v/>
      </c>
      <c r="M142" s="3" t="str">
        <f t="shared" si="2"/>
        <v/>
      </c>
    </row>
    <row r="143" spans="1:13" hidden="1">
      <c r="A143" s="2" t="str">
        <f>IF(C143="","",VLOOKUP(C143,[1]ISO辞書!A:C,2,FALSE))</f>
        <v/>
      </c>
      <c r="B143" s="3" t="str">
        <f>IF(C143="","",VLOOKUP(C143,[1]ISO辞書!A:C,3,FALSE))</f>
        <v/>
      </c>
      <c r="J143" s="2" t="str">
        <f>IF(G143="","",VLOOKUP(G143,[1]ISO辞書!A:B,2,FALSE))</f>
        <v/>
      </c>
      <c r="K143" s="2" t="str">
        <f>IF(H143="","",VLOOKUP(H143,[1]ISO辞書!A:B,2,FALSE))</f>
        <v/>
      </c>
      <c r="L143" s="2" t="str">
        <f>IF(I143="","",VLOOKUP(I143,[1]ISO辞書!A:B,2,FALSE))</f>
        <v/>
      </c>
      <c r="M143" s="3" t="str">
        <f t="shared" si="2"/>
        <v/>
      </c>
    </row>
    <row r="144" spans="1:13" hidden="1">
      <c r="A144" s="2" t="str">
        <f>IF(C144="","",VLOOKUP(C144,[1]ISO辞書!A:C,2,FALSE))</f>
        <v/>
      </c>
      <c r="B144" s="3" t="str">
        <f>IF(C144="","",VLOOKUP(C144,[1]ISO辞書!A:C,3,FALSE))</f>
        <v/>
      </c>
      <c r="J144" s="2" t="str">
        <f>IF(G144="","",VLOOKUP(G144,[1]ISO辞書!A:B,2,FALSE))</f>
        <v/>
      </c>
      <c r="K144" s="2" t="str">
        <f>IF(H144="","",VLOOKUP(H144,[1]ISO辞書!A:B,2,FALSE))</f>
        <v/>
      </c>
      <c r="L144" s="2" t="str">
        <f>IF(I144="","",VLOOKUP(I144,[1]ISO辞書!A:B,2,FALSE))</f>
        <v/>
      </c>
      <c r="M144" s="3" t="str">
        <f t="shared" si="2"/>
        <v/>
      </c>
    </row>
    <row r="145" spans="1:13" hidden="1">
      <c r="A145" s="2" t="str">
        <f>IF(C145="","",VLOOKUP(C145,[1]ISO辞書!A:C,2,FALSE))</f>
        <v/>
      </c>
      <c r="B145" s="3" t="str">
        <f>IF(C145="","",VLOOKUP(C145,[1]ISO辞書!A:C,3,FALSE))</f>
        <v/>
      </c>
      <c r="J145" s="2" t="str">
        <f>IF(G145="","",VLOOKUP(G145,[1]ISO辞書!A:B,2,FALSE))</f>
        <v/>
      </c>
      <c r="K145" s="2" t="str">
        <f>IF(H145="","",VLOOKUP(H145,[1]ISO辞書!A:B,2,FALSE))</f>
        <v/>
      </c>
      <c r="L145" s="2" t="str">
        <f>IF(I145="","",VLOOKUP(I145,[1]ISO辞書!A:B,2,FALSE))</f>
        <v/>
      </c>
      <c r="M145" s="3" t="str">
        <f t="shared" si="2"/>
        <v/>
      </c>
    </row>
    <row r="146" spans="1:13" hidden="1">
      <c r="A146" s="2" t="str">
        <f>IF(C146="","",VLOOKUP(C146,[1]ISO辞書!A:C,2,FALSE))</f>
        <v/>
      </c>
      <c r="B146" s="3" t="str">
        <f>IF(C146="","",VLOOKUP(C146,[1]ISO辞書!A:C,3,FALSE))</f>
        <v/>
      </c>
      <c r="J146" s="2" t="str">
        <f>IF(G146="","",VLOOKUP(G146,[1]ISO辞書!A:B,2,FALSE))</f>
        <v/>
      </c>
      <c r="K146" s="2" t="str">
        <f>IF(H146="","",VLOOKUP(H146,[1]ISO辞書!A:B,2,FALSE))</f>
        <v/>
      </c>
      <c r="L146" s="2" t="str">
        <f>IF(I146="","",VLOOKUP(I146,[1]ISO辞書!A:B,2,FALSE))</f>
        <v/>
      </c>
      <c r="M146" s="3" t="str">
        <f t="shared" si="2"/>
        <v/>
      </c>
    </row>
    <row r="147" spans="1:13" hidden="1">
      <c r="A147" s="2" t="str">
        <f>IF(C147="","",VLOOKUP(C147,[1]ISO辞書!A:C,2,FALSE))</f>
        <v/>
      </c>
      <c r="B147" s="3" t="str">
        <f>IF(C147="","",VLOOKUP(C147,[1]ISO辞書!A:C,3,FALSE))</f>
        <v/>
      </c>
      <c r="J147" s="2" t="str">
        <f>IF(G147="","",VLOOKUP(G147,[1]ISO辞書!A:B,2,FALSE))</f>
        <v/>
      </c>
      <c r="K147" s="2" t="str">
        <f>IF(H147="","",VLOOKUP(H147,[1]ISO辞書!A:B,2,FALSE))</f>
        <v/>
      </c>
      <c r="L147" s="2" t="str">
        <f>IF(I147="","",VLOOKUP(I147,[1]ISO辞書!A:B,2,FALSE))</f>
        <v/>
      </c>
      <c r="M147" s="3" t="str">
        <f t="shared" si="2"/>
        <v/>
      </c>
    </row>
    <row r="148" spans="1:13" hidden="1">
      <c r="A148" s="2" t="str">
        <f>IF(C148="","",VLOOKUP(C148,[1]ISO辞書!A:C,2,FALSE))</f>
        <v/>
      </c>
      <c r="B148" s="3" t="str">
        <f>IF(C148="","",VLOOKUP(C148,[1]ISO辞書!A:C,3,FALSE))</f>
        <v/>
      </c>
      <c r="J148" s="2" t="str">
        <f>IF(G148="","",VLOOKUP(G148,[1]ISO辞書!A:B,2,FALSE))</f>
        <v/>
      </c>
      <c r="K148" s="2" t="str">
        <f>IF(H148="","",VLOOKUP(H148,[1]ISO辞書!A:B,2,FALSE))</f>
        <v/>
      </c>
      <c r="L148" s="2" t="str">
        <f>IF(I148="","",VLOOKUP(I148,[1]ISO辞書!A:B,2,FALSE))</f>
        <v/>
      </c>
      <c r="M148" s="3" t="str">
        <f t="shared" si="2"/>
        <v/>
      </c>
    </row>
    <row r="149" spans="1:13" hidden="1">
      <c r="A149" s="2" t="str">
        <f>IF(C149="","",VLOOKUP(C149,[1]ISO辞書!A:C,2,FALSE))</f>
        <v/>
      </c>
      <c r="B149" s="3" t="str">
        <f>IF(C149="","",VLOOKUP(C149,[1]ISO辞書!A:C,3,FALSE))</f>
        <v/>
      </c>
      <c r="J149" s="2" t="str">
        <f>IF(G149="","",VLOOKUP(G149,[1]ISO辞書!A:B,2,FALSE))</f>
        <v/>
      </c>
      <c r="K149" s="2" t="str">
        <f>IF(H149="","",VLOOKUP(H149,[1]ISO辞書!A:B,2,FALSE))</f>
        <v/>
      </c>
      <c r="L149" s="2" t="str">
        <f>IF(I149="","",VLOOKUP(I149,[1]ISO辞書!A:B,2,FALSE))</f>
        <v/>
      </c>
      <c r="M149" s="3" t="str">
        <f t="shared" si="2"/>
        <v/>
      </c>
    </row>
    <row r="150" spans="1:13" hidden="1">
      <c r="A150" s="2" t="str">
        <f>IF(C150="","",VLOOKUP(C150,[1]ISO辞書!A:C,2,FALSE))</f>
        <v/>
      </c>
      <c r="B150" s="3" t="str">
        <f>IF(C150="","",VLOOKUP(C150,[1]ISO辞書!A:C,3,FALSE))</f>
        <v/>
      </c>
      <c r="J150" s="2" t="str">
        <f>IF(G150="","",VLOOKUP(G150,[1]ISO辞書!A:B,2,FALSE))</f>
        <v/>
      </c>
      <c r="K150" s="2" t="str">
        <f>IF(H150="","",VLOOKUP(H150,[1]ISO辞書!A:B,2,FALSE))</f>
        <v/>
      </c>
      <c r="L150" s="2" t="str">
        <f>IF(I150="","",VLOOKUP(I150,[1]ISO辞書!A:B,2,FALSE))</f>
        <v/>
      </c>
      <c r="M150" s="3" t="str">
        <f t="shared" si="2"/>
        <v/>
      </c>
    </row>
    <row r="151" spans="1:13" hidden="1">
      <c r="A151" s="2" t="str">
        <f>IF(C151="","",VLOOKUP(C151,[1]ISO辞書!A:C,2,FALSE))</f>
        <v/>
      </c>
      <c r="B151" s="3" t="str">
        <f>IF(C151="","",VLOOKUP(C151,[1]ISO辞書!A:C,3,FALSE))</f>
        <v/>
      </c>
      <c r="J151" s="2" t="str">
        <f>IF(G151="","",VLOOKUP(G151,[1]ISO辞書!A:B,2,FALSE))</f>
        <v/>
      </c>
      <c r="K151" s="2" t="str">
        <f>IF(H151="","",VLOOKUP(H151,[1]ISO辞書!A:B,2,FALSE))</f>
        <v/>
      </c>
      <c r="L151" s="2" t="str">
        <f>IF(I151="","",VLOOKUP(I151,[1]ISO辞書!A:B,2,FALSE))</f>
        <v/>
      </c>
      <c r="M151" s="3" t="str">
        <f t="shared" si="2"/>
        <v/>
      </c>
    </row>
    <row r="152" spans="1:13" hidden="1">
      <c r="A152" s="2" t="str">
        <f>IF(C152="","",VLOOKUP(C152,[1]ISO辞書!A:C,2,FALSE))</f>
        <v/>
      </c>
      <c r="B152" s="3" t="str">
        <f>IF(C152="","",VLOOKUP(C152,[1]ISO辞書!A:C,3,FALSE))</f>
        <v/>
      </c>
      <c r="J152" s="2" t="str">
        <f>IF(G152="","",VLOOKUP(G152,[1]ISO辞書!A:B,2,FALSE))</f>
        <v/>
      </c>
      <c r="K152" s="2" t="str">
        <f>IF(H152="","",VLOOKUP(H152,[1]ISO辞書!A:B,2,FALSE))</f>
        <v/>
      </c>
      <c r="L152" s="2" t="str">
        <f>IF(I152="","",VLOOKUP(I152,[1]ISO辞書!A:B,2,FALSE))</f>
        <v/>
      </c>
      <c r="M152" s="3" t="str">
        <f t="shared" si="2"/>
        <v/>
      </c>
    </row>
    <row r="153" spans="1:13" hidden="1">
      <c r="A153" s="2" t="str">
        <f>IF(C153="","",VLOOKUP(C153,[1]ISO辞書!A:C,2,FALSE))</f>
        <v/>
      </c>
      <c r="B153" s="3" t="str">
        <f>IF(C153="","",VLOOKUP(C153,[1]ISO辞書!A:C,3,FALSE))</f>
        <v/>
      </c>
      <c r="J153" s="2" t="str">
        <f>IF(G153="","",VLOOKUP(G153,[1]ISO辞書!A:B,2,FALSE))</f>
        <v/>
      </c>
      <c r="K153" s="2" t="str">
        <f>IF(H153="","",VLOOKUP(H153,[1]ISO辞書!A:B,2,FALSE))</f>
        <v/>
      </c>
      <c r="L153" s="2" t="str">
        <f>IF(I153="","",VLOOKUP(I153,[1]ISO辞書!A:B,2,FALSE))</f>
        <v/>
      </c>
      <c r="M153" s="3" t="str">
        <f t="shared" si="2"/>
        <v/>
      </c>
    </row>
    <row r="154" spans="1:13" hidden="1">
      <c r="A154" s="2" t="str">
        <f>IF(C154="","",VLOOKUP(C154,[1]ISO辞書!A:C,2,FALSE))</f>
        <v/>
      </c>
      <c r="B154" s="3" t="str">
        <f>IF(C154="","",VLOOKUP(C154,[1]ISO辞書!A:C,3,FALSE))</f>
        <v/>
      </c>
      <c r="J154" s="2" t="str">
        <f>IF(G154="","",VLOOKUP(G154,[1]ISO辞書!A:B,2,FALSE))</f>
        <v/>
      </c>
      <c r="K154" s="2" t="str">
        <f>IF(H154="","",VLOOKUP(H154,[1]ISO辞書!A:B,2,FALSE))</f>
        <v/>
      </c>
      <c r="L154" s="2" t="str">
        <f>IF(I154="","",VLOOKUP(I154,[1]ISO辞書!A:B,2,FALSE))</f>
        <v/>
      </c>
      <c r="M154" s="3" t="str">
        <f t="shared" si="2"/>
        <v/>
      </c>
    </row>
    <row r="155" spans="1:13" hidden="1">
      <c r="A155" s="2" t="str">
        <f>IF(C155="","",VLOOKUP(C155,[1]ISO辞書!A:C,2,FALSE))</f>
        <v/>
      </c>
      <c r="B155" s="3" t="str">
        <f>IF(C155="","",VLOOKUP(C155,[1]ISO辞書!A:C,3,FALSE))</f>
        <v/>
      </c>
      <c r="J155" s="2" t="str">
        <f>IF(G155="","",VLOOKUP(G155,[1]ISO辞書!A:B,2,FALSE))</f>
        <v/>
      </c>
      <c r="K155" s="2" t="str">
        <f>IF(H155="","",VLOOKUP(H155,[1]ISO辞書!A:B,2,FALSE))</f>
        <v/>
      </c>
      <c r="L155" s="2" t="str">
        <f>IF(I155="","",VLOOKUP(I155,[1]ISO辞書!A:B,2,FALSE))</f>
        <v/>
      </c>
      <c r="M155" s="3" t="str">
        <f t="shared" si="2"/>
        <v/>
      </c>
    </row>
    <row r="156" spans="1:13" hidden="1">
      <c r="A156" s="2" t="str">
        <f>IF(C156="","",VLOOKUP(C156,[1]ISO辞書!A:C,2,FALSE))</f>
        <v/>
      </c>
      <c r="B156" s="3" t="str">
        <f>IF(C156="","",VLOOKUP(C156,[1]ISO辞書!A:C,3,FALSE))</f>
        <v/>
      </c>
      <c r="J156" s="2" t="str">
        <f>IF(G156="","",VLOOKUP(G156,[1]ISO辞書!A:B,2,FALSE))</f>
        <v/>
      </c>
      <c r="K156" s="2" t="str">
        <f>IF(H156="","",VLOOKUP(H156,[1]ISO辞書!A:B,2,FALSE))</f>
        <v/>
      </c>
      <c r="L156" s="2" t="str">
        <f>IF(I156="","",VLOOKUP(I156,[1]ISO辞書!A:B,2,FALSE))</f>
        <v/>
      </c>
      <c r="M156" s="3" t="str">
        <f t="shared" si="2"/>
        <v/>
      </c>
    </row>
    <row r="157" spans="1:13" hidden="1">
      <c r="A157" s="2" t="str">
        <f>IF(C157="","",VLOOKUP(C157,[1]ISO辞書!A:C,2,FALSE))</f>
        <v/>
      </c>
      <c r="B157" s="3" t="str">
        <f>IF(C157="","",VLOOKUP(C157,[1]ISO辞書!A:C,3,FALSE))</f>
        <v/>
      </c>
      <c r="J157" s="2" t="str">
        <f>IF(G157="","",VLOOKUP(G157,[1]ISO辞書!A:B,2,FALSE))</f>
        <v/>
      </c>
      <c r="K157" s="2" t="str">
        <f>IF(H157="","",VLOOKUP(H157,[1]ISO辞書!A:B,2,FALSE))</f>
        <v/>
      </c>
      <c r="L157" s="2" t="str">
        <f>IF(I157="","",VLOOKUP(I157,[1]ISO辞書!A:B,2,FALSE))</f>
        <v/>
      </c>
      <c r="M157" s="3" t="str">
        <f t="shared" si="2"/>
        <v/>
      </c>
    </row>
    <row r="158" spans="1:13" hidden="1">
      <c r="A158" s="2" t="str">
        <f>IF(C158="","",VLOOKUP(C158,[1]ISO辞書!A:C,2,FALSE))</f>
        <v/>
      </c>
      <c r="B158" s="3" t="str">
        <f>IF(C158="","",VLOOKUP(C158,[1]ISO辞書!A:C,3,FALSE))</f>
        <v/>
      </c>
      <c r="J158" s="2" t="str">
        <f>IF(G158="","",VLOOKUP(G158,[1]ISO辞書!A:B,2,FALSE))</f>
        <v/>
      </c>
      <c r="K158" s="2" t="str">
        <f>IF(H158="","",VLOOKUP(H158,[1]ISO辞書!A:B,2,FALSE))</f>
        <v/>
      </c>
      <c r="L158" s="2" t="str">
        <f>IF(I158="","",VLOOKUP(I158,[1]ISO辞書!A:B,2,FALSE))</f>
        <v/>
      </c>
      <c r="M158" s="3" t="str">
        <f t="shared" si="2"/>
        <v/>
      </c>
    </row>
    <row r="159" spans="1:13" hidden="1">
      <c r="A159" s="2" t="str">
        <f>IF(C159="","",VLOOKUP(C159,[1]ISO辞書!A:C,2,FALSE))</f>
        <v/>
      </c>
      <c r="B159" s="3" t="str">
        <f>IF(C159="","",VLOOKUP(C159,[1]ISO辞書!A:C,3,FALSE))</f>
        <v/>
      </c>
      <c r="J159" s="2" t="str">
        <f>IF(G159="","",VLOOKUP(G159,[1]ISO辞書!A:B,2,FALSE))</f>
        <v/>
      </c>
      <c r="K159" s="2" t="str">
        <f>IF(H159="","",VLOOKUP(H159,[1]ISO辞書!A:B,2,FALSE))</f>
        <v/>
      </c>
      <c r="L159" s="2" t="str">
        <f>IF(I159="","",VLOOKUP(I159,[1]ISO辞書!A:B,2,FALSE))</f>
        <v/>
      </c>
      <c r="M159" s="3" t="str">
        <f t="shared" si="2"/>
        <v/>
      </c>
    </row>
    <row r="160" spans="1:13" hidden="1">
      <c r="A160" s="2" t="str">
        <f>IF(C160="","",VLOOKUP(C160,[1]ISO辞書!A:C,2,FALSE))</f>
        <v/>
      </c>
      <c r="B160" s="3" t="str">
        <f>IF(C160="","",VLOOKUP(C160,[1]ISO辞書!A:C,3,FALSE))</f>
        <v/>
      </c>
      <c r="J160" s="2" t="str">
        <f>IF(G160="","",VLOOKUP(G160,[1]ISO辞書!A:B,2,FALSE))</f>
        <v/>
      </c>
      <c r="K160" s="2" t="str">
        <f>IF(H160="","",VLOOKUP(H160,[1]ISO辞書!A:B,2,FALSE))</f>
        <v/>
      </c>
      <c r="L160" s="2" t="str">
        <f>IF(I160="","",VLOOKUP(I160,[1]ISO辞書!A:B,2,FALSE))</f>
        <v/>
      </c>
      <c r="M160" s="3" t="str">
        <f t="shared" si="2"/>
        <v/>
      </c>
    </row>
    <row r="161" spans="1:13" hidden="1">
      <c r="A161" s="2" t="str">
        <f>IF(C161="","",VLOOKUP(C161,[1]ISO辞書!A:C,2,FALSE))</f>
        <v/>
      </c>
      <c r="B161" s="3" t="str">
        <f>IF(C161="","",VLOOKUP(C161,[1]ISO辞書!A:C,3,FALSE))</f>
        <v/>
      </c>
      <c r="J161" s="2" t="str">
        <f>IF(G161="","",VLOOKUP(G161,[1]ISO辞書!A:B,2,FALSE))</f>
        <v/>
      </c>
      <c r="K161" s="2" t="str">
        <f>IF(H161="","",VLOOKUP(H161,[1]ISO辞書!A:B,2,FALSE))</f>
        <v/>
      </c>
      <c r="L161" s="2" t="str">
        <f>IF(I161="","",VLOOKUP(I161,[1]ISO辞書!A:B,2,FALSE))</f>
        <v/>
      </c>
      <c r="M161" s="3" t="str">
        <f t="shared" si="2"/>
        <v/>
      </c>
    </row>
    <row r="162" spans="1:13" hidden="1">
      <c r="A162" s="2" t="str">
        <f>IF(C162="","",VLOOKUP(C162,[1]ISO辞書!A:C,2,FALSE))</f>
        <v/>
      </c>
      <c r="B162" s="3" t="str">
        <f>IF(C162="","",VLOOKUP(C162,[1]ISO辞書!A:C,3,FALSE))</f>
        <v/>
      </c>
      <c r="J162" s="2" t="str">
        <f>IF(G162="","",VLOOKUP(G162,[1]ISO辞書!A:B,2,FALSE))</f>
        <v/>
      </c>
      <c r="K162" s="2" t="str">
        <f>IF(H162="","",VLOOKUP(H162,[1]ISO辞書!A:B,2,FALSE))</f>
        <v/>
      </c>
      <c r="L162" s="2" t="str">
        <f>IF(I162="","",VLOOKUP(I162,[1]ISO辞書!A:B,2,FALSE))</f>
        <v/>
      </c>
      <c r="M162" s="3" t="str">
        <f t="shared" si="2"/>
        <v/>
      </c>
    </row>
    <row r="163" spans="1:13" hidden="1">
      <c r="A163" s="2" t="str">
        <f>IF(C163="","",VLOOKUP(C163,[1]ISO辞書!A:C,2,FALSE))</f>
        <v/>
      </c>
      <c r="B163" s="3" t="str">
        <f>IF(C163="","",VLOOKUP(C163,[1]ISO辞書!A:C,3,FALSE))</f>
        <v/>
      </c>
      <c r="J163" s="2" t="str">
        <f>IF(G163="","",VLOOKUP(G163,[1]ISO辞書!A:B,2,FALSE))</f>
        <v/>
      </c>
      <c r="K163" s="2" t="str">
        <f>IF(H163="","",VLOOKUP(H163,[1]ISO辞書!A:B,2,FALSE))</f>
        <v/>
      </c>
      <c r="L163" s="2" t="str">
        <f>IF(I163="","",VLOOKUP(I163,[1]ISO辞書!A:B,2,FALSE))</f>
        <v/>
      </c>
      <c r="M163" s="3" t="str">
        <f t="shared" si="2"/>
        <v/>
      </c>
    </row>
    <row r="164" spans="1:13" hidden="1">
      <c r="A164" s="2" t="str">
        <f>IF(C164="","",VLOOKUP(C164,[1]ISO辞書!A:C,2,FALSE))</f>
        <v/>
      </c>
      <c r="B164" s="3" t="str">
        <f>IF(C164="","",VLOOKUP(C164,[1]ISO辞書!A:C,3,FALSE))</f>
        <v/>
      </c>
      <c r="J164" s="2" t="str">
        <f>IF(G164="","",VLOOKUP(G164,[1]ISO辞書!A:B,2,FALSE))</f>
        <v/>
      </c>
      <c r="K164" s="2" t="str">
        <f>IF(H164="","",VLOOKUP(H164,[1]ISO辞書!A:B,2,FALSE))</f>
        <v/>
      </c>
      <c r="L164" s="2" t="str">
        <f>IF(I164="","",VLOOKUP(I164,[1]ISO辞書!A:B,2,FALSE))</f>
        <v/>
      </c>
      <c r="M164" s="3" t="str">
        <f t="shared" si="2"/>
        <v/>
      </c>
    </row>
    <row r="165" spans="1:13" hidden="1">
      <c r="A165" s="2" t="str">
        <f>IF(C165="","",VLOOKUP(C165,[1]ISO辞書!A:C,2,FALSE))</f>
        <v/>
      </c>
      <c r="B165" s="3" t="str">
        <f>IF(C165="","",VLOOKUP(C165,[1]ISO辞書!A:C,3,FALSE))</f>
        <v/>
      </c>
      <c r="J165" s="2" t="str">
        <f>IF(G165="","",VLOOKUP(G165,[1]ISO辞書!A:B,2,FALSE))</f>
        <v/>
      </c>
      <c r="K165" s="2" t="str">
        <f>IF(H165="","",VLOOKUP(H165,[1]ISO辞書!A:B,2,FALSE))</f>
        <v/>
      </c>
      <c r="L165" s="2" t="str">
        <f>IF(I165="","",VLOOKUP(I165,[1]ISO辞書!A:B,2,FALSE))</f>
        <v/>
      </c>
      <c r="M165" s="3" t="str">
        <f t="shared" si="2"/>
        <v/>
      </c>
    </row>
    <row r="166" spans="1:13" hidden="1">
      <c r="A166" s="2" t="str">
        <f>IF(C166="","",VLOOKUP(C166,[1]ISO辞書!A:C,2,FALSE))</f>
        <v/>
      </c>
      <c r="B166" s="3" t="str">
        <f>IF(C166="","",VLOOKUP(C166,[1]ISO辞書!A:C,3,FALSE))</f>
        <v/>
      </c>
      <c r="J166" s="2" t="str">
        <f>IF(G166="","",VLOOKUP(G166,[1]ISO辞書!A:B,2,FALSE))</f>
        <v/>
      </c>
      <c r="K166" s="2" t="str">
        <f>IF(H166="","",VLOOKUP(H166,[1]ISO辞書!A:B,2,FALSE))</f>
        <v/>
      </c>
      <c r="L166" s="2" t="str">
        <f>IF(I166="","",VLOOKUP(I166,[1]ISO辞書!A:B,2,FALSE))</f>
        <v/>
      </c>
      <c r="M166" s="3" t="str">
        <f t="shared" si="2"/>
        <v/>
      </c>
    </row>
    <row r="167" spans="1:13" hidden="1">
      <c r="A167" s="2" t="str">
        <f>IF(C167="","",VLOOKUP(C167,[1]ISO辞書!A:C,2,FALSE))</f>
        <v/>
      </c>
      <c r="B167" s="3" t="str">
        <f>IF(C167="","",VLOOKUP(C167,[1]ISO辞書!A:C,3,FALSE))</f>
        <v/>
      </c>
      <c r="J167" s="2" t="str">
        <f>IF(G167="","",VLOOKUP(G167,[1]ISO辞書!A:B,2,FALSE))</f>
        <v/>
      </c>
      <c r="K167" s="2" t="str">
        <f>IF(H167="","",VLOOKUP(H167,[1]ISO辞書!A:B,2,FALSE))</f>
        <v/>
      </c>
      <c r="L167" s="2" t="str">
        <f>IF(I167="","",VLOOKUP(I167,[1]ISO辞書!A:B,2,FALSE))</f>
        <v/>
      </c>
      <c r="M167" s="3" t="str">
        <f t="shared" si="2"/>
        <v/>
      </c>
    </row>
    <row r="168" spans="1:13" hidden="1">
      <c r="A168" s="2" t="str">
        <f>IF(C168="","",VLOOKUP(C168,[1]ISO辞書!A:C,2,FALSE))</f>
        <v/>
      </c>
      <c r="B168" s="3" t="str">
        <f>IF(C168="","",VLOOKUP(C168,[1]ISO辞書!A:C,3,FALSE))</f>
        <v/>
      </c>
      <c r="J168" s="2" t="str">
        <f>IF(G168="","",VLOOKUP(G168,[1]ISO辞書!A:B,2,FALSE))</f>
        <v/>
      </c>
      <c r="K168" s="2" t="str">
        <f>IF(H168="","",VLOOKUP(H168,[1]ISO辞書!A:B,2,FALSE))</f>
        <v/>
      </c>
      <c r="L168" s="2" t="str">
        <f>IF(I168="","",VLOOKUP(I168,[1]ISO辞書!A:B,2,FALSE))</f>
        <v/>
      </c>
      <c r="M168" s="3" t="str">
        <f t="shared" si="2"/>
        <v/>
      </c>
    </row>
    <row r="169" spans="1:13" hidden="1">
      <c r="A169" s="2" t="str">
        <f>IF(C169="","",VLOOKUP(C169,[1]ISO辞書!A:C,2,FALSE))</f>
        <v/>
      </c>
      <c r="B169" s="3" t="str">
        <f>IF(C169="","",VLOOKUP(C169,[1]ISO辞書!A:C,3,FALSE))</f>
        <v/>
      </c>
      <c r="J169" s="2" t="str">
        <f>IF(G169="","",VLOOKUP(G169,[1]ISO辞書!A:B,2,FALSE))</f>
        <v/>
      </c>
      <c r="K169" s="2" t="str">
        <f>IF(H169="","",VLOOKUP(H169,[1]ISO辞書!A:B,2,FALSE))</f>
        <v/>
      </c>
      <c r="L169" s="2" t="str">
        <f>IF(I169="","",VLOOKUP(I169,[1]ISO辞書!A:B,2,FALSE))</f>
        <v/>
      </c>
      <c r="M169" s="3" t="str">
        <f t="shared" si="2"/>
        <v/>
      </c>
    </row>
    <row r="170" spans="1:13" hidden="1">
      <c r="A170" s="2" t="str">
        <f>IF(C170="","",VLOOKUP(C170,[1]ISO辞書!A:C,2,FALSE))</f>
        <v/>
      </c>
      <c r="B170" s="3" t="str">
        <f>IF(C170="","",VLOOKUP(C170,[1]ISO辞書!A:C,3,FALSE))</f>
        <v/>
      </c>
      <c r="J170" s="2" t="str">
        <f>IF(G170="","",VLOOKUP(G170,[1]ISO辞書!A:B,2,FALSE))</f>
        <v/>
      </c>
      <c r="K170" s="2" t="str">
        <f>IF(H170="","",VLOOKUP(H170,[1]ISO辞書!A:B,2,FALSE))</f>
        <v/>
      </c>
      <c r="L170" s="2" t="str">
        <f>IF(I170="","",VLOOKUP(I170,[1]ISO辞書!A:B,2,FALSE))</f>
        <v/>
      </c>
      <c r="M170" s="3" t="str">
        <f t="shared" si="2"/>
        <v/>
      </c>
    </row>
    <row r="171" spans="1:13" hidden="1">
      <c r="A171" s="2" t="str">
        <f>IF(C171="","",VLOOKUP(C171,[1]ISO辞書!A:C,2,FALSE))</f>
        <v/>
      </c>
      <c r="B171" s="3" t="str">
        <f>IF(C171="","",VLOOKUP(C171,[1]ISO辞書!A:C,3,FALSE))</f>
        <v/>
      </c>
      <c r="J171" s="2" t="str">
        <f>IF(G171="","",VLOOKUP(G171,[1]ISO辞書!A:B,2,FALSE))</f>
        <v/>
      </c>
      <c r="K171" s="2" t="str">
        <f>IF(H171="","",VLOOKUP(H171,[1]ISO辞書!A:B,2,FALSE))</f>
        <v/>
      </c>
      <c r="L171" s="2" t="str">
        <f>IF(I171="","",VLOOKUP(I171,[1]ISO辞書!A:B,2,FALSE))</f>
        <v/>
      </c>
      <c r="M171" s="3" t="str">
        <f t="shared" si="2"/>
        <v/>
      </c>
    </row>
    <row r="172" spans="1:13" hidden="1">
      <c r="A172" s="2" t="str">
        <f>IF(C172="","",VLOOKUP(C172,[1]ISO辞書!A:C,2,FALSE))</f>
        <v/>
      </c>
      <c r="B172" s="3" t="str">
        <f>IF(C172="","",VLOOKUP(C172,[1]ISO辞書!A:C,3,FALSE))</f>
        <v/>
      </c>
      <c r="J172" s="2" t="str">
        <f>IF(G172="","",VLOOKUP(G172,[1]ISO辞書!A:B,2,FALSE))</f>
        <v/>
      </c>
      <c r="K172" s="2" t="str">
        <f>IF(H172="","",VLOOKUP(H172,[1]ISO辞書!A:B,2,FALSE))</f>
        <v/>
      </c>
      <c r="L172" s="2" t="str">
        <f>IF(I172="","",VLOOKUP(I172,[1]ISO辞書!A:B,2,FALSE))</f>
        <v/>
      </c>
      <c r="M172" s="3" t="str">
        <f t="shared" si="2"/>
        <v/>
      </c>
    </row>
    <row r="173" spans="1:13" hidden="1">
      <c r="A173" s="2" t="str">
        <f>IF(C173="","",VLOOKUP(C173,[1]ISO辞書!A:C,2,FALSE))</f>
        <v/>
      </c>
      <c r="B173" s="3" t="str">
        <f>IF(C173="","",VLOOKUP(C173,[1]ISO辞書!A:C,3,FALSE))</f>
        <v/>
      </c>
      <c r="J173" s="2" t="str">
        <f>IF(G173="","",VLOOKUP(G173,[1]ISO辞書!A:B,2,FALSE))</f>
        <v/>
      </c>
      <c r="K173" s="2" t="str">
        <f>IF(H173="","",VLOOKUP(H173,[1]ISO辞書!A:B,2,FALSE))</f>
        <v/>
      </c>
      <c r="L173" s="2" t="str">
        <f>IF(I173="","",VLOOKUP(I173,[1]ISO辞書!A:B,2,FALSE))</f>
        <v/>
      </c>
      <c r="M173" s="3" t="str">
        <f t="shared" si="2"/>
        <v/>
      </c>
    </row>
    <row r="174" spans="1:13" hidden="1">
      <c r="A174" s="2" t="str">
        <f>IF(C174="","",VLOOKUP(C174,[1]ISO辞書!A:C,2,FALSE))</f>
        <v/>
      </c>
      <c r="B174" s="3" t="str">
        <f>IF(C174="","",VLOOKUP(C174,[1]ISO辞書!A:C,3,FALSE))</f>
        <v/>
      </c>
      <c r="J174" s="2" t="str">
        <f>IF(G174="","",VLOOKUP(G174,[1]ISO辞書!A:B,2,FALSE))</f>
        <v/>
      </c>
      <c r="K174" s="2" t="str">
        <f>IF(H174="","",VLOOKUP(H174,[1]ISO辞書!A:B,2,FALSE))</f>
        <v/>
      </c>
      <c r="L174" s="2" t="str">
        <f>IF(I174="","",VLOOKUP(I174,[1]ISO辞書!A:B,2,FALSE))</f>
        <v/>
      </c>
      <c r="M174" s="3" t="str">
        <f t="shared" si="2"/>
        <v/>
      </c>
    </row>
    <row r="175" spans="1:13" hidden="1">
      <c r="A175" s="2" t="str">
        <f>IF(C175="","",VLOOKUP(C175,[1]ISO辞書!A:C,2,FALSE))</f>
        <v/>
      </c>
      <c r="B175" s="3" t="str">
        <f>IF(C175="","",VLOOKUP(C175,[1]ISO辞書!A:C,3,FALSE))</f>
        <v/>
      </c>
      <c r="J175" s="2" t="str">
        <f>IF(G175="","",VLOOKUP(G175,[1]ISO辞書!A:B,2,FALSE))</f>
        <v/>
      </c>
      <c r="K175" s="2" t="str">
        <f>IF(H175="","",VLOOKUP(H175,[1]ISO辞書!A:B,2,FALSE))</f>
        <v/>
      </c>
      <c r="L175" s="2" t="str">
        <f>IF(I175="","",VLOOKUP(I175,[1]ISO辞書!A:B,2,FALSE))</f>
        <v/>
      </c>
      <c r="M175" s="3" t="str">
        <f t="shared" si="2"/>
        <v/>
      </c>
    </row>
    <row r="176" spans="1:13" hidden="1">
      <c r="A176" s="2" t="str">
        <f>IF(C176="","",VLOOKUP(C176,[1]ISO辞書!A:C,2,FALSE))</f>
        <v/>
      </c>
      <c r="B176" s="3" t="str">
        <f>IF(C176="","",VLOOKUP(C176,[1]ISO辞書!A:C,3,FALSE))</f>
        <v/>
      </c>
      <c r="J176" s="2" t="str">
        <f>IF(G176="","",VLOOKUP(G176,[1]ISO辞書!A:B,2,FALSE))</f>
        <v/>
      </c>
      <c r="K176" s="2" t="str">
        <f>IF(H176="","",VLOOKUP(H176,[1]ISO辞書!A:B,2,FALSE))</f>
        <v/>
      </c>
      <c r="L176" s="2" t="str">
        <f>IF(I176="","",VLOOKUP(I176,[1]ISO辞書!A:B,2,FALSE))</f>
        <v/>
      </c>
      <c r="M176" s="3" t="str">
        <f t="shared" si="2"/>
        <v/>
      </c>
    </row>
    <row r="177" spans="1:13" hidden="1">
      <c r="A177" s="2" t="str">
        <f>IF(C177="","",VLOOKUP(C177,[1]ISO辞書!A:C,2,FALSE))</f>
        <v/>
      </c>
      <c r="B177" s="3" t="str">
        <f>IF(C177="","",VLOOKUP(C177,[1]ISO辞書!A:C,3,FALSE))</f>
        <v/>
      </c>
      <c r="J177" s="2" t="str">
        <f>IF(G177="","",VLOOKUP(G177,[1]ISO辞書!A:B,2,FALSE))</f>
        <v/>
      </c>
      <c r="K177" s="2" t="str">
        <f>IF(H177="","",VLOOKUP(H177,[1]ISO辞書!A:B,2,FALSE))</f>
        <v/>
      </c>
      <c r="L177" s="2" t="str">
        <f>IF(I177="","",VLOOKUP(I177,[1]ISO辞書!A:B,2,FALSE))</f>
        <v/>
      </c>
      <c r="M177" s="3" t="str">
        <f t="shared" si="2"/>
        <v/>
      </c>
    </row>
    <row r="178" spans="1:13" hidden="1">
      <c r="A178" s="2" t="str">
        <f>IF(C178="","",VLOOKUP(C178,[1]ISO辞書!A:C,2,FALSE))</f>
        <v/>
      </c>
      <c r="B178" s="3" t="str">
        <f>IF(C178="","",VLOOKUP(C178,[1]ISO辞書!A:C,3,FALSE))</f>
        <v/>
      </c>
      <c r="J178" s="2" t="str">
        <f>IF(G178="","",VLOOKUP(G178,[1]ISO辞書!A:B,2,FALSE))</f>
        <v/>
      </c>
      <c r="K178" s="2" t="str">
        <f>IF(H178="","",VLOOKUP(H178,[1]ISO辞書!A:B,2,FALSE))</f>
        <v/>
      </c>
      <c r="L178" s="2" t="str">
        <f>IF(I178="","",VLOOKUP(I178,[1]ISO辞書!A:B,2,FALSE))</f>
        <v/>
      </c>
      <c r="M178" s="3" t="str">
        <f t="shared" si="2"/>
        <v/>
      </c>
    </row>
    <row r="179" spans="1:13" hidden="1">
      <c r="A179" s="2" t="str">
        <f>IF(C179="","",VLOOKUP(C179,[1]ISO辞書!A:C,2,FALSE))</f>
        <v/>
      </c>
      <c r="B179" s="3" t="str">
        <f>IF(C179="","",VLOOKUP(C179,[1]ISO辞書!A:C,3,FALSE))</f>
        <v/>
      </c>
      <c r="J179" s="2" t="str">
        <f>IF(G179="","",VLOOKUP(G179,[1]ISO辞書!A:B,2,FALSE))</f>
        <v/>
      </c>
      <c r="K179" s="2" t="str">
        <f>IF(H179="","",VLOOKUP(H179,[1]ISO辞書!A:B,2,FALSE))</f>
        <v/>
      </c>
      <c r="L179" s="2" t="str">
        <f>IF(I179="","",VLOOKUP(I179,[1]ISO辞書!A:B,2,FALSE))</f>
        <v/>
      </c>
      <c r="M179" s="3" t="str">
        <f t="shared" si="2"/>
        <v/>
      </c>
    </row>
    <row r="180" spans="1:13" hidden="1">
      <c r="A180" s="2" t="str">
        <f>IF(C180="","",VLOOKUP(C180,[1]ISO辞書!A:C,2,FALSE))</f>
        <v/>
      </c>
      <c r="B180" s="3" t="str">
        <f>IF(C180="","",VLOOKUP(C180,[1]ISO辞書!A:C,3,FALSE))</f>
        <v/>
      </c>
      <c r="J180" s="2" t="str">
        <f>IF(G180="","",VLOOKUP(G180,[1]ISO辞書!A:B,2,FALSE))</f>
        <v/>
      </c>
      <c r="K180" s="2" t="str">
        <f>IF(H180="","",VLOOKUP(H180,[1]ISO辞書!A:B,2,FALSE))</f>
        <v/>
      </c>
      <c r="L180" s="2" t="str">
        <f>IF(I180="","",VLOOKUP(I180,[1]ISO辞書!A:B,2,FALSE))</f>
        <v/>
      </c>
      <c r="M180" s="3" t="str">
        <f t="shared" si="2"/>
        <v/>
      </c>
    </row>
    <row r="181" spans="1:13" hidden="1">
      <c r="A181" s="2" t="str">
        <f>IF(C181="","",VLOOKUP(C181,[1]ISO辞書!A:C,2,FALSE))</f>
        <v/>
      </c>
      <c r="B181" s="3" t="str">
        <f>IF(C181="","",VLOOKUP(C181,[1]ISO辞書!A:C,3,FALSE))</f>
        <v/>
      </c>
      <c r="J181" s="2" t="str">
        <f>IF(G181="","",VLOOKUP(G181,[1]ISO辞書!A:B,2,FALSE))</f>
        <v/>
      </c>
      <c r="K181" s="2" t="str">
        <f>IF(H181="","",VLOOKUP(H181,[1]ISO辞書!A:B,2,FALSE))</f>
        <v/>
      </c>
      <c r="L181" s="2" t="str">
        <f>IF(I181="","",VLOOKUP(I181,[1]ISO辞書!A:B,2,FALSE))</f>
        <v/>
      </c>
      <c r="M181" s="3" t="str">
        <f t="shared" si="2"/>
        <v/>
      </c>
    </row>
    <row r="182" spans="1:13" hidden="1">
      <c r="A182" s="2" t="str">
        <f>IF(C182="","",VLOOKUP(C182,[1]ISO辞書!A:C,2,FALSE))</f>
        <v/>
      </c>
      <c r="B182" s="3" t="str">
        <f>IF(C182="","",VLOOKUP(C182,[1]ISO辞書!A:C,3,FALSE))</f>
        <v/>
      </c>
      <c r="J182" s="2" t="str">
        <f>IF(G182="","",VLOOKUP(G182,[1]ISO辞書!A:B,2,FALSE))</f>
        <v/>
      </c>
      <c r="K182" s="2" t="str">
        <f>IF(H182="","",VLOOKUP(H182,[1]ISO辞書!A:B,2,FALSE))</f>
        <v/>
      </c>
      <c r="L182" s="2" t="str">
        <f>IF(I182="","",VLOOKUP(I182,[1]ISO辞書!A:B,2,FALSE))</f>
        <v/>
      </c>
      <c r="M182" s="3" t="str">
        <f t="shared" si="2"/>
        <v/>
      </c>
    </row>
    <row r="183" spans="1:13" hidden="1">
      <c r="A183" s="2" t="str">
        <f>IF(C183="","",VLOOKUP(C183,[1]ISO辞書!A:C,2,FALSE))</f>
        <v/>
      </c>
      <c r="B183" s="3" t="str">
        <f>IF(C183="","",VLOOKUP(C183,[1]ISO辞書!A:C,3,FALSE))</f>
        <v/>
      </c>
      <c r="J183" s="2" t="str">
        <f>IF(G183="","",VLOOKUP(G183,[1]ISO辞書!A:B,2,FALSE))</f>
        <v/>
      </c>
      <c r="K183" s="2" t="str">
        <f>IF(H183="","",VLOOKUP(H183,[1]ISO辞書!A:B,2,FALSE))</f>
        <v/>
      </c>
      <c r="L183" s="2" t="str">
        <f>IF(I183="","",VLOOKUP(I183,[1]ISO辞書!A:B,2,FALSE))</f>
        <v/>
      </c>
      <c r="M183" s="3" t="str">
        <f t="shared" si="2"/>
        <v/>
      </c>
    </row>
    <row r="184" spans="1:13" hidden="1">
      <c r="A184" s="2" t="str">
        <f>IF(C184="","",VLOOKUP(C184,[1]ISO辞書!A:C,2,FALSE))</f>
        <v/>
      </c>
      <c r="B184" s="3" t="str">
        <f>IF(C184="","",VLOOKUP(C184,[1]ISO辞書!A:C,3,FALSE))</f>
        <v/>
      </c>
      <c r="J184" s="2" t="str">
        <f>IF(G184="","",VLOOKUP(G184,[1]ISO辞書!A:B,2,FALSE))</f>
        <v/>
      </c>
      <c r="K184" s="2" t="str">
        <f>IF(H184="","",VLOOKUP(H184,[1]ISO辞書!A:B,2,FALSE))</f>
        <v/>
      </c>
      <c r="L184" s="2" t="str">
        <f>IF(I184="","",VLOOKUP(I184,[1]ISO辞書!A:B,2,FALSE))</f>
        <v/>
      </c>
      <c r="M184" s="3" t="str">
        <f t="shared" si="2"/>
        <v/>
      </c>
    </row>
    <row r="185" spans="1:13" hidden="1">
      <c r="A185" s="2" t="str">
        <f>IF(C185="","",VLOOKUP(C185,[1]ISO辞書!A:C,2,FALSE))</f>
        <v/>
      </c>
      <c r="B185" s="3" t="str">
        <f>IF(C185="","",VLOOKUP(C185,[1]ISO辞書!A:C,3,FALSE))</f>
        <v/>
      </c>
      <c r="J185" s="2" t="str">
        <f>IF(G185="","",VLOOKUP(G185,[1]ISO辞書!A:B,2,FALSE))</f>
        <v/>
      </c>
      <c r="K185" s="2" t="str">
        <f>IF(H185="","",VLOOKUP(H185,[1]ISO辞書!A:B,2,FALSE))</f>
        <v/>
      </c>
      <c r="L185" s="2" t="str">
        <f>IF(I185="","",VLOOKUP(I185,[1]ISO辞書!A:B,2,FALSE))</f>
        <v/>
      </c>
      <c r="M185" s="3" t="str">
        <f t="shared" si="2"/>
        <v/>
      </c>
    </row>
    <row r="186" spans="1:13" hidden="1">
      <c r="A186" s="2" t="str">
        <f>IF(C186="","",VLOOKUP(C186,[1]ISO辞書!A:C,2,FALSE))</f>
        <v/>
      </c>
      <c r="B186" s="3" t="str">
        <f>IF(C186="","",VLOOKUP(C186,[1]ISO辞書!A:C,3,FALSE))</f>
        <v/>
      </c>
      <c r="J186" s="2" t="str">
        <f>IF(G186="","",VLOOKUP(G186,[1]ISO辞書!A:B,2,FALSE))</f>
        <v/>
      </c>
      <c r="K186" s="2" t="str">
        <f>IF(H186="","",VLOOKUP(H186,[1]ISO辞書!A:B,2,FALSE))</f>
        <v/>
      </c>
      <c r="L186" s="2" t="str">
        <f>IF(I186="","",VLOOKUP(I186,[1]ISO辞書!A:B,2,FALSE))</f>
        <v/>
      </c>
      <c r="M186" s="3" t="str">
        <f t="shared" si="2"/>
        <v/>
      </c>
    </row>
    <row r="187" spans="1:13" hidden="1">
      <c r="A187" s="2" t="str">
        <f>IF(C187="","",VLOOKUP(C187,[1]ISO辞書!A:C,2,FALSE))</f>
        <v/>
      </c>
      <c r="B187" s="3" t="str">
        <f>IF(C187="","",VLOOKUP(C187,[1]ISO辞書!A:C,3,FALSE))</f>
        <v/>
      </c>
      <c r="J187" s="2" t="str">
        <f>IF(G187="","",VLOOKUP(G187,[1]ISO辞書!A:B,2,FALSE))</f>
        <v/>
      </c>
      <c r="K187" s="2" t="str">
        <f>IF(H187="","",VLOOKUP(H187,[1]ISO辞書!A:B,2,FALSE))</f>
        <v/>
      </c>
      <c r="L187" s="2" t="str">
        <f>IF(I187="","",VLOOKUP(I187,[1]ISO辞書!A:B,2,FALSE))</f>
        <v/>
      </c>
      <c r="M187" s="3" t="str">
        <f t="shared" si="2"/>
        <v/>
      </c>
    </row>
    <row r="188" spans="1:13" hidden="1">
      <c r="A188" s="2" t="str">
        <f>IF(C188="","",VLOOKUP(C188,[1]ISO辞書!A:C,2,FALSE))</f>
        <v/>
      </c>
      <c r="B188" s="3" t="str">
        <f>IF(C188="","",VLOOKUP(C188,[1]ISO辞書!A:C,3,FALSE))</f>
        <v/>
      </c>
      <c r="J188" s="2" t="str">
        <f>IF(G188="","",VLOOKUP(G188,[1]ISO辞書!A:B,2,FALSE))</f>
        <v/>
      </c>
      <c r="K188" s="2" t="str">
        <f>IF(H188="","",VLOOKUP(H188,[1]ISO辞書!A:B,2,FALSE))</f>
        <v/>
      </c>
      <c r="L188" s="2" t="str">
        <f>IF(I188="","",VLOOKUP(I188,[1]ISO辞書!A:B,2,FALSE))</f>
        <v/>
      </c>
      <c r="M188" s="3" t="str">
        <f t="shared" si="2"/>
        <v/>
      </c>
    </row>
    <row r="189" spans="1:13" hidden="1">
      <c r="A189" s="2" t="str">
        <f>IF(C189="","",VLOOKUP(C189,[1]ISO辞書!A:C,2,FALSE))</f>
        <v/>
      </c>
      <c r="B189" s="3" t="str">
        <f>IF(C189="","",VLOOKUP(C189,[1]ISO辞書!A:C,3,FALSE))</f>
        <v/>
      </c>
      <c r="J189" s="2" t="str">
        <f>IF(G189="","",VLOOKUP(G189,[1]ISO辞書!A:B,2,FALSE))</f>
        <v/>
      </c>
      <c r="K189" s="2" t="str">
        <f>IF(H189="","",VLOOKUP(H189,[1]ISO辞書!A:B,2,FALSE))</f>
        <v/>
      </c>
      <c r="L189" s="2" t="str">
        <f>IF(I189="","",VLOOKUP(I189,[1]ISO辞書!A:B,2,FALSE))</f>
        <v/>
      </c>
      <c r="M189" s="3" t="str">
        <f t="shared" si="2"/>
        <v/>
      </c>
    </row>
    <row r="190" spans="1:13" hidden="1">
      <c r="A190" s="2" t="str">
        <f>IF(C190="","",VLOOKUP(C190,[1]ISO辞書!A:C,2,FALSE))</f>
        <v/>
      </c>
      <c r="B190" s="3" t="str">
        <f>IF(C190="","",VLOOKUP(C190,[1]ISO辞書!A:C,3,FALSE))</f>
        <v/>
      </c>
      <c r="J190" s="2" t="str">
        <f>IF(G190="","",VLOOKUP(G190,[1]ISO辞書!A:B,2,FALSE))</f>
        <v/>
      </c>
      <c r="K190" s="2" t="str">
        <f>IF(H190="","",VLOOKUP(H190,[1]ISO辞書!A:B,2,FALSE))</f>
        <v/>
      </c>
      <c r="L190" s="2" t="str">
        <f>IF(I190="","",VLOOKUP(I190,[1]ISO辞書!A:B,2,FALSE))</f>
        <v/>
      </c>
      <c r="M190" s="3" t="str">
        <f t="shared" si="2"/>
        <v/>
      </c>
    </row>
    <row r="191" spans="1:13" hidden="1">
      <c r="A191" s="2" t="str">
        <f>IF(C191="","",VLOOKUP(C191,[1]ISO辞書!A:C,2,FALSE))</f>
        <v/>
      </c>
      <c r="B191" s="3" t="str">
        <f>IF(C191="","",VLOOKUP(C191,[1]ISO辞書!A:C,3,FALSE))</f>
        <v/>
      </c>
      <c r="J191" s="2" t="str">
        <f>IF(G191="","",VLOOKUP(G191,[1]ISO辞書!A:B,2,FALSE))</f>
        <v/>
      </c>
      <c r="K191" s="2" t="str">
        <f>IF(H191="","",VLOOKUP(H191,[1]ISO辞書!A:B,2,FALSE))</f>
        <v/>
      </c>
      <c r="L191" s="2" t="str">
        <f>IF(I191="","",VLOOKUP(I191,[1]ISO辞書!A:B,2,FALSE))</f>
        <v/>
      </c>
      <c r="M191" s="3" t="str">
        <f t="shared" si="2"/>
        <v/>
      </c>
    </row>
    <row r="192" spans="1:13" hidden="1">
      <c r="A192" s="2" t="str">
        <f>IF(C192="","",VLOOKUP(C192,[1]ISO辞書!A:C,2,FALSE))</f>
        <v/>
      </c>
      <c r="B192" s="3" t="str">
        <f>IF(C192="","",VLOOKUP(C192,[1]ISO辞書!A:C,3,FALSE))</f>
        <v/>
      </c>
      <c r="J192" s="2" t="str">
        <f>IF(G192="","",VLOOKUP(G192,[1]ISO辞書!A:B,2,FALSE))</f>
        <v/>
      </c>
      <c r="K192" s="2" t="str">
        <f>IF(H192="","",VLOOKUP(H192,[1]ISO辞書!A:B,2,FALSE))</f>
        <v/>
      </c>
      <c r="L192" s="2" t="str">
        <f>IF(I192="","",VLOOKUP(I192,[1]ISO辞書!A:B,2,FALSE))</f>
        <v/>
      </c>
      <c r="M192" s="3" t="str">
        <f t="shared" si="2"/>
        <v/>
      </c>
    </row>
    <row r="193" spans="1:13" hidden="1">
      <c r="A193" s="2" t="str">
        <f>IF(C193="","",VLOOKUP(C193,[1]ISO辞書!A:C,2,FALSE))</f>
        <v/>
      </c>
      <c r="B193" s="3" t="str">
        <f>IF(C193="","",VLOOKUP(C193,[1]ISO辞書!A:C,3,FALSE))</f>
        <v/>
      </c>
      <c r="J193" s="2" t="str">
        <f>IF(G193="","",VLOOKUP(G193,[1]ISO辞書!A:B,2,FALSE))</f>
        <v/>
      </c>
      <c r="K193" s="2" t="str">
        <f>IF(H193="","",VLOOKUP(H193,[1]ISO辞書!A:B,2,FALSE))</f>
        <v/>
      </c>
      <c r="L193" s="2" t="str">
        <f>IF(I193="","",VLOOKUP(I193,[1]ISO辞書!A:B,2,FALSE))</f>
        <v/>
      </c>
      <c r="M193" s="3" t="str">
        <f t="shared" si="2"/>
        <v/>
      </c>
    </row>
    <row r="194" spans="1:13" hidden="1">
      <c r="A194" s="2" t="str">
        <f>IF(C194="","",VLOOKUP(C194,[1]ISO辞書!A:C,2,FALSE))</f>
        <v/>
      </c>
      <c r="B194" s="3" t="str">
        <f>IF(C194="","",VLOOKUP(C194,[1]ISO辞書!A:C,3,FALSE))</f>
        <v/>
      </c>
      <c r="J194" s="2" t="str">
        <f>IF(G194="","",VLOOKUP(G194,[1]ISO辞書!A:B,2,FALSE))</f>
        <v/>
      </c>
      <c r="K194" s="2" t="str">
        <f>IF(H194="","",VLOOKUP(H194,[1]ISO辞書!A:B,2,FALSE))</f>
        <v/>
      </c>
      <c r="L194" s="2" t="str">
        <f>IF(I194="","",VLOOKUP(I194,[1]ISO辞書!A:B,2,FALSE))</f>
        <v/>
      </c>
      <c r="M194" s="3" t="str">
        <f t="shared" ref="M194:M257" si="3">_xlfn.TEXTJOIN(";",TRUE,J194:L194)</f>
        <v/>
      </c>
    </row>
    <row r="195" spans="1:13" hidden="1">
      <c r="A195" s="2" t="str">
        <f>IF(C195="","",VLOOKUP(C195,[1]ISO辞書!A:C,2,FALSE))</f>
        <v/>
      </c>
      <c r="B195" s="3" t="str">
        <f>IF(C195="","",VLOOKUP(C195,[1]ISO辞書!A:C,3,FALSE))</f>
        <v/>
      </c>
      <c r="J195" s="2" t="str">
        <f>IF(G195="","",VLOOKUP(G195,[1]ISO辞書!A:B,2,FALSE))</f>
        <v/>
      </c>
      <c r="K195" s="2" t="str">
        <f>IF(H195="","",VLOOKUP(H195,[1]ISO辞書!A:B,2,FALSE))</f>
        <v/>
      </c>
      <c r="L195" s="2" t="str">
        <f>IF(I195="","",VLOOKUP(I195,[1]ISO辞書!A:B,2,FALSE))</f>
        <v/>
      </c>
      <c r="M195" s="3" t="str">
        <f t="shared" si="3"/>
        <v/>
      </c>
    </row>
    <row r="196" spans="1:13" hidden="1">
      <c r="A196" s="2" t="str">
        <f>IF(C196="","",VLOOKUP(C196,[1]ISO辞書!A:C,2,FALSE))</f>
        <v/>
      </c>
      <c r="B196" s="3" t="str">
        <f>IF(C196="","",VLOOKUP(C196,[1]ISO辞書!A:C,3,FALSE))</f>
        <v/>
      </c>
      <c r="J196" s="2" t="str">
        <f>IF(G196="","",VLOOKUP(G196,[1]ISO辞書!A:B,2,FALSE))</f>
        <v/>
      </c>
      <c r="K196" s="2" t="str">
        <f>IF(H196="","",VLOOKUP(H196,[1]ISO辞書!A:B,2,FALSE))</f>
        <v/>
      </c>
      <c r="L196" s="2" t="str">
        <f>IF(I196="","",VLOOKUP(I196,[1]ISO辞書!A:B,2,FALSE))</f>
        <v/>
      </c>
      <c r="M196" s="3" t="str">
        <f t="shared" si="3"/>
        <v/>
      </c>
    </row>
    <row r="197" spans="1:13" hidden="1">
      <c r="A197" s="2" t="str">
        <f>IF(C197="","",VLOOKUP(C197,[1]ISO辞書!A:C,2,FALSE))</f>
        <v/>
      </c>
      <c r="B197" s="3" t="str">
        <f>IF(C197="","",VLOOKUP(C197,[1]ISO辞書!A:C,3,FALSE))</f>
        <v/>
      </c>
      <c r="J197" s="2" t="str">
        <f>IF(G197="","",VLOOKUP(G197,[1]ISO辞書!A:B,2,FALSE))</f>
        <v/>
      </c>
      <c r="K197" s="2" t="str">
        <f>IF(H197="","",VLOOKUP(H197,[1]ISO辞書!A:B,2,FALSE))</f>
        <v/>
      </c>
      <c r="L197" s="2" t="str">
        <f>IF(I197="","",VLOOKUP(I197,[1]ISO辞書!A:B,2,FALSE))</f>
        <v/>
      </c>
      <c r="M197" s="3" t="str">
        <f t="shared" si="3"/>
        <v/>
      </c>
    </row>
    <row r="198" spans="1:13" hidden="1">
      <c r="A198" s="2" t="str">
        <f>IF(C198="","",VLOOKUP(C198,[1]ISO辞書!A:C,2,FALSE))</f>
        <v/>
      </c>
      <c r="B198" s="3" t="str">
        <f>IF(C198="","",VLOOKUP(C198,[1]ISO辞書!A:C,3,FALSE))</f>
        <v/>
      </c>
      <c r="J198" s="2" t="str">
        <f>IF(G198="","",VLOOKUP(G198,[1]ISO辞書!A:B,2,FALSE))</f>
        <v/>
      </c>
      <c r="K198" s="2" t="str">
        <f>IF(H198="","",VLOOKUP(H198,[1]ISO辞書!A:B,2,FALSE))</f>
        <v/>
      </c>
      <c r="L198" s="2" t="str">
        <f>IF(I198="","",VLOOKUP(I198,[1]ISO辞書!A:B,2,FALSE))</f>
        <v/>
      </c>
      <c r="M198" s="3" t="str">
        <f t="shared" si="3"/>
        <v/>
      </c>
    </row>
    <row r="199" spans="1:13" hidden="1">
      <c r="A199" s="2" t="str">
        <f>IF(C199="","",VLOOKUP(C199,[1]ISO辞書!A:C,2,FALSE))</f>
        <v/>
      </c>
      <c r="B199" s="3" t="str">
        <f>IF(C199="","",VLOOKUP(C199,[1]ISO辞書!A:C,3,FALSE))</f>
        <v/>
      </c>
      <c r="J199" s="2" t="str">
        <f>IF(G199="","",VLOOKUP(G199,[1]ISO辞書!A:B,2,FALSE))</f>
        <v/>
      </c>
      <c r="K199" s="2" t="str">
        <f>IF(H199="","",VLOOKUP(H199,[1]ISO辞書!A:B,2,FALSE))</f>
        <v/>
      </c>
      <c r="L199" s="2" t="str">
        <f>IF(I199="","",VLOOKUP(I199,[1]ISO辞書!A:B,2,FALSE))</f>
        <v/>
      </c>
      <c r="M199" s="3" t="str">
        <f t="shared" si="3"/>
        <v/>
      </c>
    </row>
    <row r="200" spans="1:13" hidden="1">
      <c r="A200" s="2" t="str">
        <f>IF(C200="","",VLOOKUP(C200,[1]ISO辞書!A:C,2,FALSE))</f>
        <v/>
      </c>
      <c r="B200" s="3" t="str">
        <f>IF(C200="","",VLOOKUP(C200,[1]ISO辞書!A:C,3,FALSE))</f>
        <v/>
      </c>
      <c r="J200" s="2" t="str">
        <f>IF(G200="","",VLOOKUP(G200,[1]ISO辞書!A:B,2,FALSE))</f>
        <v/>
      </c>
      <c r="K200" s="2" t="str">
        <f>IF(H200="","",VLOOKUP(H200,[1]ISO辞書!A:B,2,FALSE))</f>
        <v/>
      </c>
      <c r="L200" s="2" t="str">
        <f>IF(I200="","",VLOOKUP(I200,[1]ISO辞書!A:B,2,FALSE))</f>
        <v/>
      </c>
      <c r="M200" s="3" t="str">
        <f t="shared" si="3"/>
        <v/>
      </c>
    </row>
    <row r="201" spans="1:13" hidden="1">
      <c r="A201" s="2" t="str">
        <f>IF(C201="","",VLOOKUP(C201,[1]ISO辞書!A:C,2,FALSE))</f>
        <v/>
      </c>
      <c r="B201" s="3" t="str">
        <f>IF(C201="","",VLOOKUP(C201,[1]ISO辞書!A:C,3,FALSE))</f>
        <v/>
      </c>
      <c r="J201" s="2" t="str">
        <f>IF(G201="","",VLOOKUP(G201,[1]ISO辞書!A:B,2,FALSE))</f>
        <v/>
      </c>
      <c r="K201" s="2" t="str">
        <f>IF(H201="","",VLOOKUP(H201,[1]ISO辞書!A:B,2,FALSE))</f>
        <v/>
      </c>
      <c r="L201" s="2" t="str">
        <f>IF(I201="","",VLOOKUP(I201,[1]ISO辞書!A:B,2,FALSE))</f>
        <v/>
      </c>
      <c r="M201" s="3" t="str">
        <f t="shared" si="3"/>
        <v/>
      </c>
    </row>
    <row r="202" spans="1:13" hidden="1">
      <c r="A202" s="2" t="str">
        <f>IF(C202="","",VLOOKUP(C202,[1]ISO辞書!A:C,2,FALSE))</f>
        <v/>
      </c>
      <c r="B202" s="3" t="str">
        <f>IF(C202="","",VLOOKUP(C202,[1]ISO辞書!A:C,3,FALSE))</f>
        <v/>
      </c>
      <c r="J202" s="2" t="str">
        <f>IF(G202="","",VLOOKUP(G202,[1]ISO辞書!A:B,2,FALSE))</f>
        <v/>
      </c>
      <c r="K202" s="2" t="str">
        <f>IF(H202="","",VLOOKUP(H202,[1]ISO辞書!A:B,2,FALSE))</f>
        <v/>
      </c>
      <c r="L202" s="2" t="str">
        <f>IF(I202="","",VLOOKUP(I202,[1]ISO辞書!A:B,2,FALSE))</f>
        <v/>
      </c>
      <c r="M202" s="3" t="str">
        <f t="shared" si="3"/>
        <v/>
      </c>
    </row>
    <row r="203" spans="1:13" hidden="1">
      <c r="A203" s="2" t="str">
        <f>IF(C203="","",VLOOKUP(C203,[1]ISO辞書!A:C,2,FALSE))</f>
        <v/>
      </c>
      <c r="B203" s="3" t="str">
        <f>IF(C203="","",VLOOKUP(C203,[1]ISO辞書!A:C,3,FALSE))</f>
        <v/>
      </c>
      <c r="J203" s="2" t="str">
        <f>IF(G203="","",VLOOKUP(G203,[1]ISO辞書!A:B,2,FALSE))</f>
        <v/>
      </c>
      <c r="K203" s="2" t="str">
        <f>IF(H203="","",VLOOKUP(H203,[1]ISO辞書!A:B,2,FALSE))</f>
        <v/>
      </c>
      <c r="L203" s="2" t="str">
        <f>IF(I203="","",VLOOKUP(I203,[1]ISO辞書!A:B,2,FALSE))</f>
        <v/>
      </c>
      <c r="M203" s="3" t="str">
        <f t="shared" si="3"/>
        <v/>
      </c>
    </row>
    <row r="204" spans="1:13" hidden="1">
      <c r="A204" s="2" t="str">
        <f>IF(C204="","",VLOOKUP(C204,[1]ISO辞書!A:C,2,FALSE))</f>
        <v/>
      </c>
      <c r="B204" s="3" t="str">
        <f>IF(C204="","",VLOOKUP(C204,[1]ISO辞書!A:C,3,FALSE))</f>
        <v/>
      </c>
      <c r="J204" s="2" t="str">
        <f>IF(G204="","",VLOOKUP(G204,[1]ISO辞書!A:B,2,FALSE))</f>
        <v/>
      </c>
      <c r="K204" s="2" t="str">
        <f>IF(H204="","",VLOOKUP(H204,[1]ISO辞書!A:B,2,FALSE))</f>
        <v/>
      </c>
      <c r="L204" s="2" t="str">
        <f>IF(I204="","",VLOOKUP(I204,[1]ISO辞書!A:B,2,FALSE))</f>
        <v/>
      </c>
      <c r="M204" s="3" t="str">
        <f t="shared" si="3"/>
        <v/>
      </c>
    </row>
    <row r="205" spans="1:13" hidden="1">
      <c r="A205" s="2" t="str">
        <f>IF(C205="","",VLOOKUP(C205,[1]ISO辞書!A:C,2,FALSE))</f>
        <v/>
      </c>
      <c r="B205" s="3" t="str">
        <f>IF(C205="","",VLOOKUP(C205,[1]ISO辞書!A:C,3,FALSE))</f>
        <v/>
      </c>
      <c r="J205" s="2" t="str">
        <f>IF(G205="","",VLOOKUP(G205,[1]ISO辞書!A:B,2,FALSE))</f>
        <v/>
      </c>
      <c r="K205" s="2" t="str">
        <f>IF(H205="","",VLOOKUP(H205,[1]ISO辞書!A:B,2,FALSE))</f>
        <v/>
      </c>
      <c r="L205" s="2" t="str">
        <f>IF(I205="","",VLOOKUP(I205,[1]ISO辞書!A:B,2,FALSE))</f>
        <v/>
      </c>
      <c r="M205" s="3" t="str">
        <f t="shared" si="3"/>
        <v/>
      </c>
    </row>
    <row r="206" spans="1:13" hidden="1">
      <c r="A206" s="2" t="str">
        <f>IF(C206="","",VLOOKUP(C206,[1]ISO辞書!A:C,2,FALSE))</f>
        <v/>
      </c>
      <c r="B206" s="3" t="str">
        <f>IF(C206="","",VLOOKUP(C206,[1]ISO辞書!A:C,3,FALSE))</f>
        <v/>
      </c>
      <c r="J206" s="2" t="str">
        <f>IF(G206="","",VLOOKUP(G206,[1]ISO辞書!A:B,2,FALSE))</f>
        <v/>
      </c>
      <c r="K206" s="2" t="str">
        <f>IF(H206="","",VLOOKUP(H206,[1]ISO辞書!A:B,2,FALSE))</f>
        <v/>
      </c>
      <c r="L206" s="2" t="str">
        <f>IF(I206="","",VLOOKUP(I206,[1]ISO辞書!A:B,2,FALSE))</f>
        <v/>
      </c>
      <c r="M206" s="3" t="str">
        <f t="shared" si="3"/>
        <v/>
      </c>
    </row>
    <row r="207" spans="1:13" hidden="1">
      <c r="A207" s="2" t="str">
        <f>IF(C207="","",VLOOKUP(C207,[1]ISO辞書!A:C,2,FALSE))</f>
        <v/>
      </c>
      <c r="B207" s="3" t="str">
        <f>IF(C207="","",VLOOKUP(C207,[1]ISO辞書!A:C,3,FALSE))</f>
        <v/>
      </c>
      <c r="J207" s="2" t="str">
        <f>IF(G207="","",VLOOKUP(G207,[1]ISO辞書!A:B,2,FALSE))</f>
        <v/>
      </c>
      <c r="K207" s="2" t="str">
        <f>IF(H207="","",VLOOKUP(H207,[1]ISO辞書!A:B,2,FALSE))</f>
        <v/>
      </c>
      <c r="L207" s="2" t="str">
        <f>IF(I207="","",VLOOKUP(I207,[1]ISO辞書!A:B,2,FALSE))</f>
        <v/>
      </c>
      <c r="M207" s="3" t="str">
        <f t="shared" si="3"/>
        <v/>
      </c>
    </row>
    <row r="208" spans="1:13" hidden="1">
      <c r="A208" s="2" t="str">
        <f>IF(C208="","",VLOOKUP(C208,[1]ISO辞書!A:C,2,FALSE))</f>
        <v/>
      </c>
      <c r="B208" s="3" t="str">
        <f>IF(C208="","",VLOOKUP(C208,[1]ISO辞書!A:C,3,FALSE))</f>
        <v/>
      </c>
      <c r="J208" s="2" t="str">
        <f>IF(G208="","",VLOOKUP(G208,[1]ISO辞書!A:B,2,FALSE))</f>
        <v/>
      </c>
      <c r="K208" s="2" t="str">
        <f>IF(H208="","",VLOOKUP(H208,[1]ISO辞書!A:B,2,FALSE))</f>
        <v/>
      </c>
      <c r="L208" s="2" t="str">
        <f>IF(I208="","",VLOOKUP(I208,[1]ISO辞書!A:B,2,FALSE))</f>
        <v/>
      </c>
      <c r="M208" s="3" t="str">
        <f t="shared" si="3"/>
        <v/>
      </c>
    </row>
    <row r="209" spans="1:13" hidden="1">
      <c r="A209" s="2" t="str">
        <f>IF(C209="","",VLOOKUP(C209,[1]ISO辞書!A:C,2,FALSE))</f>
        <v/>
      </c>
      <c r="B209" s="3" t="str">
        <f>IF(C209="","",VLOOKUP(C209,[1]ISO辞書!A:C,3,FALSE))</f>
        <v/>
      </c>
      <c r="J209" s="2" t="str">
        <f>IF(G209="","",VLOOKUP(G209,[1]ISO辞書!A:B,2,FALSE))</f>
        <v/>
      </c>
      <c r="K209" s="2" t="str">
        <f>IF(H209="","",VLOOKUP(H209,[1]ISO辞書!A:B,2,FALSE))</f>
        <v/>
      </c>
      <c r="L209" s="2" t="str">
        <f>IF(I209="","",VLOOKUP(I209,[1]ISO辞書!A:B,2,FALSE))</f>
        <v/>
      </c>
      <c r="M209" s="3" t="str">
        <f t="shared" si="3"/>
        <v/>
      </c>
    </row>
    <row r="210" spans="1:13" hidden="1">
      <c r="A210" s="2" t="str">
        <f>IF(C210="","",VLOOKUP(C210,[1]ISO辞書!A:C,2,FALSE))</f>
        <v/>
      </c>
      <c r="B210" s="3" t="str">
        <f>IF(C210="","",VLOOKUP(C210,[1]ISO辞書!A:C,3,FALSE))</f>
        <v/>
      </c>
      <c r="J210" s="2" t="str">
        <f>IF(G210="","",VLOOKUP(G210,[1]ISO辞書!A:B,2,FALSE))</f>
        <v/>
      </c>
      <c r="K210" s="2" t="str">
        <f>IF(H210="","",VLOOKUP(H210,[1]ISO辞書!A:B,2,FALSE))</f>
        <v/>
      </c>
      <c r="L210" s="2" t="str">
        <f>IF(I210="","",VLOOKUP(I210,[1]ISO辞書!A:B,2,FALSE))</f>
        <v/>
      </c>
      <c r="M210" s="3" t="str">
        <f t="shared" si="3"/>
        <v/>
      </c>
    </row>
    <row r="211" spans="1:13" hidden="1">
      <c r="A211" s="2" t="str">
        <f>IF(C211="","",VLOOKUP(C211,[1]ISO辞書!A:C,2,FALSE))</f>
        <v/>
      </c>
      <c r="B211" s="3" t="str">
        <f>IF(C211="","",VLOOKUP(C211,[1]ISO辞書!A:C,3,FALSE))</f>
        <v/>
      </c>
      <c r="J211" s="2" t="str">
        <f>IF(G211="","",VLOOKUP(G211,[1]ISO辞書!A:B,2,FALSE))</f>
        <v/>
      </c>
      <c r="K211" s="2" t="str">
        <f>IF(H211="","",VLOOKUP(H211,[1]ISO辞書!A:B,2,FALSE))</f>
        <v/>
      </c>
      <c r="L211" s="2" t="str">
        <f>IF(I211="","",VLOOKUP(I211,[1]ISO辞書!A:B,2,FALSE))</f>
        <v/>
      </c>
      <c r="M211" s="3" t="str">
        <f t="shared" si="3"/>
        <v/>
      </c>
    </row>
    <row r="212" spans="1:13" hidden="1">
      <c r="A212" s="2" t="str">
        <f>IF(C212="","",VLOOKUP(C212,[1]ISO辞書!A:C,2,FALSE))</f>
        <v/>
      </c>
      <c r="B212" s="3" t="str">
        <f>IF(C212="","",VLOOKUP(C212,[1]ISO辞書!A:C,3,FALSE))</f>
        <v/>
      </c>
      <c r="J212" s="2" t="str">
        <f>IF(G212="","",VLOOKUP(G212,[1]ISO辞書!A:B,2,FALSE))</f>
        <v/>
      </c>
      <c r="K212" s="2" t="str">
        <f>IF(H212="","",VLOOKUP(H212,[1]ISO辞書!A:B,2,FALSE))</f>
        <v/>
      </c>
      <c r="L212" s="2" t="str">
        <f>IF(I212="","",VLOOKUP(I212,[1]ISO辞書!A:B,2,FALSE))</f>
        <v/>
      </c>
      <c r="M212" s="3" t="str">
        <f t="shared" si="3"/>
        <v/>
      </c>
    </row>
    <row r="213" spans="1:13" hidden="1">
      <c r="A213" s="2" t="str">
        <f>IF(C213="","",VLOOKUP(C213,[1]ISO辞書!A:C,2,FALSE))</f>
        <v/>
      </c>
      <c r="B213" s="3" t="str">
        <f>IF(C213="","",VLOOKUP(C213,[1]ISO辞書!A:C,3,FALSE))</f>
        <v/>
      </c>
      <c r="J213" s="2" t="str">
        <f>IF(G213="","",VLOOKUP(G213,[1]ISO辞書!A:B,2,FALSE))</f>
        <v/>
      </c>
      <c r="K213" s="2" t="str">
        <f>IF(H213="","",VLOOKUP(H213,[1]ISO辞書!A:B,2,FALSE))</f>
        <v/>
      </c>
      <c r="L213" s="2" t="str">
        <f>IF(I213="","",VLOOKUP(I213,[1]ISO辞書!A:B,2,FALSE))</f>
        <v/>
      </c>
      <c r="M213" s="3" t="str">
        <f t="shared" si="3"/>
        <v/>
      </c>
    </row>
    <row r="214" spans="1:13" hidden="1">
      <c r="A214" s="2" t="str">
        <f>IF(C214="","",VLOOKUP(C214,[1]ISO辞書!A:C,2,FALSE))</f>
        <v/>
      </c>
      <c r="B214" s="3" t="str">
        <f>IF(C214="","",VLOOKUP(C214,[1]ISO辞書!A:C,3,FALSE))</f>
        <v/>
      </c>
      <c r="J214" s="2" t="str">
        <f>IF(G214="","",VLOOKUP(G214,[1]ISO辞書!A:B,2,FALSE))</f>
        <v/>
      </c>
      <c r="K214" s="2" t="str">
        <f>IF(H214="","",VLOOKUP(H214,[1]ISO辞書!A:B,2,FALSE))</f>
        <v/>
      </c>
      <c r="L214" s="2" t="str">
        <f>IF(I214="","",VLOOKUP(I214,[1]ISO辞書!A:B,2,FALSE))</f>
        <v/>
      </c>
      <c r="M214" s="3" t="str">
        <f t="shared" si="3"/>
        <v/>
      </c>
    </row>
    <row r="215" spans="1:13" hidden="1">
      <c r="A215" s="2" t="str">
        <f>IF(C215="","",VLOOKUP(C215,[1]ISO辞書!A:C,2,FALSE))</f>
        <v/>
      </c>
      <c r="B215" s="3" t="str">
        <f>IF(C215="","",VLOOKUP(C215,[1]ISO辞書!A:C,3,FALSE))</f>
        <v/>
      </c>
      <c r="J215" s="2" t="str">
        <f>IF(G215="","",VLOOKUP(G215,[1]ISO辞書!A:B,2,FALSE))</f>
        <v/>
      </c>
      <c r="K215" s="2" t="str">
        <f>IF(H215="","",VLOOKUP(H215,[1]ISO辞書!A:B,2,FALSE))</f>
        <v/>
      </c>
      <c r="L215" s="2" t="str">
        <f>IF(I215="","",VLOOKUP(I215,[1]ISO辞書!A:B,2,FALSE))</f>
        <v/>
      </c>
      <c r="M215" s="3" t="str">
        <f t="shared" si="3"/>
        <v/>
      </c>
    </row>
    <row r="216" spans="1:13" hidden="1">
      <c r="A216" s="2" t="str">
        <f>IF(C216="","",VLOOKUP(C216,[1]ISO辞書!A:C,2,FALSE))</f>
        <v/>
      </c>
      <c r="B216" s="3" t="str">
        <f>IF(C216="","",VLOOKUP(C216,[1]ISO辞書!A:C,3,FALSE))</f>
        <v/>
      </c>
      <c r="J216" s="2" t="str">
        <f>IF(G216="","",VLOOKUP(G216,[1]ISO辞書!A:B,2,FALSE))</f>
        <v/>
      </c>
      <c r="K216" s="2" t="str">
        <f>IF(H216="","",VLOOKUP(H216,[1]ISO辞書!A:B,2,FALSE))</f>
        <v/>
      </c>
      <c r="L216" s="2" t="str">
        <f>IF(I216="","",VLOOKUP(I216,[1]ISO辞書!A:B,2,FALSE))</f>
        <v/>
      </c>
      <c r="M216" s="3" t="str">
        <f t="shared" si="3"/>
        <v/>
      </c>
    </row>
    <row r="217" spans="1:13" hidden="1">
      <c r="A217" s="2" t="str">
        <f>IF(C217="","",VLOOKUP(C217,[1]ISO辞書!A:C,2,FALSE))</f>
        <v/>
      </c>
      <c r="B217" s="3" t="str">
        <f>IF(C217="","",VLOOKUP(C217,[1]ISO辞書!A:C,3,FALSE))</f>
        <v/>
      </c>
      <c r="J217" s="2" t="str">
        <f>IF(G217="","",VLOOKUP(G217,[1]ISO辞書!A:B,2,FALSE))</f>
        <v/>
      </c>
      <c r="K217" s="2" t="str">
        <f>IF(H217="","",VLOOKUP(H217,[1]ISO辞書!A:B,2,FALSE))</f>
        <v/>
      </c>
      <c r="L217" s="2" t="str">
        <f>IF(I217="","",VLOOKUP(I217,[1]ISO辞書!A:B,2,FALSE))</f>
        <v/>
      </c>
      <c r="M217" s="3" t="str">
        <f t="shared" si="3"/>
        <v/>
      </c>
    </row>
    <row r="218" spans="1:13" hidden="1">
      <c r="A218" s="2" t="str">
        <f>IF(C218="","",VLOOKUP(C218,[1]ISO辞書!A:C,2,FALSE))</f>
        <v/>
      </c>
      <c r="B218" s="3" t="str">
        <f>IF(C218="","",VLOOKUP(C218,[1]ISO辞書!A:C,3,FALSE))</f>
        <v/>
      </c>
      <c r="J218" s="2" t="str">
        <f>IF(G218="","",VLOOKUP(G218,[1]ISO辞書!A:B,2,FALSE))</f>
        <v/>
      </c>
      <c r="K218" s="2" t="str">
        <f>IF(H218="","",VLOOKUP(H218,[1]ISO辞書!A:B,2,FALSE))</f>
        <v/>
      </c>
      <c r="L218" s="2" t="str">
        <f>IF(I218="","",VLOOKUP(I218,[1]ISO辞書!A:B,2,FALSE))</f>
        <v/>
      </c>
      <c r="M218" s="3" t="str">
        <f t="shared" si="3"/>
        <v/>
      </c>
    </row>
    <row r="219" spans="1:13" hidden="1">
      <c r="A219" s="2" t="str">
        <f>IF(C219="","",VLOOKUP(C219,[1]ISO辞書!A:C,2,FALSE))</f>
        <v/>
      </c>
      <c r="B219" s="3" t="str">
        <f>IF(C219="","",VLOOKUP(C219,[1]ISO辞書!A:C,3,FALSE))</f>
        <v/>
      </c>
      <c r="J219" s="2" t="str">
        <f>IF(G219="","",VLOOKUP(G219,[1]ISO辞書!A:B,2,FALSE))</f>
        <v/>
      </c>
      <c r="K219" s="2" t="str">
        <f>IF(H219="","",VLOOKUP(H219,[1]ISO辞書!A:B,2,FALSE))</f>
        <v/>
      </c>
      <c r="L219" s="2" t="str">
        <f>IF(I219="","",VLOOKUP(I219,[1]ISO辞書!A:B,2,FALSE))</f>
        <v/>
      </c>
      <c r="M219" s="3" t="str">
        <f t="shared" si="3"/>
        <v/>
      </c>
    </row>
    <row r="220" spans="1:13" hidden="1">
      <c r="A220" s="2" t="str">
        <f>IF(C220="","",VLOOKUP(C220,[1]ISO辞書!A:C,2,FALSE))</f>
        <v/>
      </c>
      <c r="B220" s="3" t="str">
        <f>IF(C220="","",VLOOKUP(C220,[1]ISO辞書!A:C,3,FALSE))</f>
        <v/>
      </c>
      <c r="J220" s="2" t="str">
        <f>IF(G220="","",VLOOKUP(G220,[1]ISO辞書!A:B,2,FALSE))</f>
        <v/>
      </c>
      <c r="K220" s="2" t="str">
        <f>IF(H220="","",VLOOKUP(H220,[1]ISO辞書!A:B,2,FALSE))</f>
        <v/>
      </c>
      <c r="L220" s="2" t="str">
        <f>IF(I220="","",VLOOKUP(I220,[1]ISO辞書!A:B,2,FALSE))</f>
        <v/>
      </c>
      <c r="M220" s="3" t="str">
        <f t="shared" si="3"/>
        <v/>
      </c>
    </row>
    <row r="221" spans="1:13" hidden="1">
      <c r="A221" s="2" t="str">
        <f>IF(C221="","",VLOOKUP(C221,[1]ISO辞書!A:C,2,FALSE))</f>
        <v/>
      </c>
      <c r="B221" s="3" t="str">
        <f>IF(C221="","",VLOOKUP(C221,[1]ISO辞書!A:C,3,FALSE))</f>
        <v/>
      </c>
      <c r="J221" s="2" t="str">
        <f>IF(G221="","",VLOOKUP(G221,[1]ISO辞書!A:B,2,FALSE))</f>
        <v/>
      </c>
      <c r="K221" s="2" t="str">
        <f>IF(H221="","",VLOOKUP(H221,[1]ISO辞書!A:B,2,FALSE))</f>
        <v/>
      </c>
      <c r="L221" s="2" t="str">
        <f>IF(I221="","",VLOOKUP(I221,[1]ISO辞書!A:B,2,FALSE))</f>
        <v/>
      </c>
      <c r="M221" s="3" t="str">
        <f t="shared" si="3"/>
        <v/>
      </c>
    </row>
    <row r="222" spans="1:13" hidden="1">
      <c r="A222" s="2" t="str">
        <f>IF(C222="","",VLOOKUP(C222,[1]ISO辞書!A:C,2,FALSE))</f>
        <v/>
      </c>
      <c r="B222" s="3" t="str">
        <f>IF(C222="","",VLOOKUP(C222,[1]ISO辞書!A:C,3,FALSE))</f>
        <v/>
      </c>
      <c r="J222" s="2" t="str">
        <f>IF(G222="","",VLOOKUP(G222,[1]ISO辞書!A:B,2,FALSE))</f>
        <v/>
      </c>
      <c r="K222" s="2" t="str">
        <f>IF(H222="","",VLOOKUP(H222,[1]ISO辞書!A:B,2,FALSE))</f>
        <v/>
      </c>
      <c r="L222" s="2" t="str">
        <f>IF(I222="","",VLOOKUP(I222,[1]ISO辞書!A:B,2,FALSE))</f>
        <v/>
      </c>
      <c r="M222" s="3" t="str">
        <f t="shared" si="3"/>
        <v/>
      </c>
    </row>
    <row r="223" spans="1:13" hidden="1">
      <c r="A223" s="2" t="str">
        <f>IF(C223="","",VLOOKUP(C223,[1]ISO辞書!A:C,2,FALSE))</f>
        <v/>
      </c>
      <c r="B223" s="3" t="str">
        <f>IF(C223="","",VLOOKUP(C223,[1]ISO辞書!A:C,3,FALSE))</f>
        <v/>
      </c>
      <c r="J223" s="2" t="str">
        <f>IF(G223="","",VLOOKUP(G223,[1]ISO辞書!A:B,2,FALSE))</f>
        <v/>
      </c>
      <c r="K223" s="2" t="str">
        <f>IF(H223="","",VLOOKUP(H223,[1]ISO辞書!A:B,2,FALSE))</f>
        <v/>
      </c>
      <c r="L223" s="2" t="str">
        <f>IF(I223="","",VLOOKUP(I223,[1]ISO辞書!A:B,2,FALSE))</f>
        <v/>
      </c>
      <c r="M223" s="3" t="str">
        <f t="shared" si="3"/>
        <v/>
      </c>
    </row>
    <row r="224" spans="1:13" hidden="1">
      <c r="A224" s="2" t="str">
        <f>IF(C224="","",VLOOKUP(C224,[1]ISO辞書!A:C,2,FALSE))</f>
        <v/>
      </c>
      <c r="B224" s="3" t="str">
        <f>IF(C224="","",VLOOKUP(C224,[1]ISO辞書!A:C,3,FALSE))</f>
        <v/>
      </c>
      <c r="J224" s="2" t="str">
        <f>IF(G224="","",VLOOKUP(G224,[1]ISO辞書!A:B,2,FALSE))</f>
        <v/>
      </c>
      <c r="K224" s="2" t="str">
        <f>IF(H224="","",VLOOKUP(H224,[1]ISO辞書!A:B,2,FALSE))</f>
        <v/>
      </c>
      <c r="L224" s="2" t="str">
        <f>IF(I224="","",VLOOKUP(I224,[1]ISO辞書!A:B,2,FALSE))</f>
        <v/>
      </c>
      <c r="M224" s="3" t="str">
        <f t="shared" si="3"/>
        <v/>
      </c>
    </row>
    <row r="225" spans="1:13" hidden="1">
      <c r="A225" s="2" t="str">
        <f>IF(C225="","",VLOOKUP(C225,[1]ISO辞書!A:C,2,FALSE))</f>
        <v/>
      </c>
      <c r="B225" s="3" t="str">
        <f>IF(C225="","",VLOOKUP(C225,[1]ISO辞書!A:C,3,FALSE))</f>
        <v/>
      </c>
      <c r="J225" s="2" t="str">
        <f>IF(G225="","",VLOOKUP(G225,[1]ISO辞書!A:B,2,FALSE))</f>
        <v/>
      </c>
      <c r="K225" s="2" t="str">
        <f>IF(H225="","",VLOOKUP(H225,[1]ISO辞書!A:B,2,FALSE))</f>
        <v/>
      </c>
      <c r="L225" s="2" t="str">
        <f>IF(I225="","",VLOOKUP(I225,[1]ISO辞書!A:B,2,FALSE))</f>
        <v/>
      </c>
      <c r="M225" s="3" t="str">
        <f t="shared" si="3"/>
        <v/>
      </c>
    </row>
    <row r="226" spans="1:13" hidden="1">
      <c r="A226" s="2" t="str">
        <f>IF(C226="","",VLOOKUP(C226,[1]ISO辞書!A:C,2,FALSE))</f>
        <v/>
      </c>
      <c r="B226" s="3" t="str">
        <f>IF(C226="","",VLOOKUP(C226,[1]ISO辞書!A:C,3,FALSE))</f>
        <v/>
      </c>
      <c r="J226" s="2" t="str">
        <f>IF(G226="","",VLOOKUP(G226,[1]ISO辞書!A:B,2,FALSE))</f>
        <v/>
      </c>
      <c r="K226" s="2" t="str">
        <f>IF(H226="","",VLOOKUP(H226,[1]ISO辞書!A:B,2,FALSE))</f>
        <v/>
      </c>
      <c r="L226" s="2" t="str">
        <f>IF(I226="","",VLOOKUP(I226,[1]ISO辞書!A:B,2,FALSE))</f>
        <v/>
      </c>
      <c r="M226" s="3" t="str">
        <f t="shared" si="3"/>
        <v/>
      </c>
    </row>
    <row r="227" spans="1:13" hidden="1">
      <c r="A227" s="2" t="str">
        <f>IF(C227="","",VLOOKUP(C227,[1]ISO辞書!A:C,2,FALSE))</f>
        <v/>
      </c>
      <c r="B227" s="3" t="str">
        <f>IF(C227="","",VLOOKUP(C227,[1]ISO辞書!A:C,3,FALSE))</f>
        <v/>
      </c>
      <c r="J227" s="2" t="str">
        <f>IF(G227="","",VLOOKUP(G227,[1]ISO辞書!A:B,2,FALSE))</f>
        <v/>
      </c>
      <c r="K227" s="2" t="str">
        <f>IF(H227="","",VLOOKUP(H227,[1]ISO辞書!A:B,2,FALSE))</f>
        <v/>
      </c>
      <c r="L227" s="2" t="str">
        <f>IF(I227="","",VLOOKUP(I227,[1]ISO辞書!A:B,2,FALSE))</f>
        <v/>
      </c>
      <c r="M227" s="3" t="str">
        <f t="shared" si="3"/>
        <v/>
      </c>
    </row>
    <row r="228" spans="1:13" hidden="1">
      <c r="A228" s="2" t="str">
        <f>IF(C228="","",VLOOKUP(C228,[1]ISO辞書!A:C,2,FALSE))</f>
        <v/>
      </c>
      <c r="B228" s="3" t="str">
        <f>IF(C228="","",VLOOKUP(C228,[1]ISO辞書!A:C,3,FALSE))</f>
        <v/>
      </c>
      <c r="J228" s="2" t="str">
        <f>IF(G228="","",VLOOKUP(G228,[1]ISO辞書!A:B,2,FALSE))</f>
        <v/>
      </c>
      <c r="K228" s="2" t="str">
        <f>IF(H228="","",VLOOKUP(H228,[1]ISO辞書!A:B,2,FALSE))</f>
        <v/>
      </c>
      <c r="L228" s="2" t="str">
        <f>IF(I228="","",VLOOKUP(I228,[1]ISO辞書!A:B,2,FALSE))</f>
        <v/>
      </c>
      <c r="M228" s="3" t="str">
        <f t="shared" si="3"/>
        <v/>
      </c>
    </row>
    <row r="229" spans="1:13" hidden="1">
      <c r="A229" s="2" t="str">
        <f>IF(C229="","",VLOOKUP(C229,[1]ISO辞書!A:C,2,FALSE))</f>
        <v/>
      </c>
      <c r="B229" s="3" t="str">
        <f>IF(C229="","",VLOOKUP(C229,[1]ISO辞書!A:C,3,FALSE))</f>
        <v/>
      </c>
      <c r="J229" s="2" t="str">
        <f>IF(G229="","",VLOOKUP(G229,[1]ISO辞書!A:B,2,FALSE))</f>
        <v/>
      </c>
      <c r="K229" s="2" t="str">
        <f>IF(H229="","",VLOOKUP(H229,[1]ISO辞書!A:B,2,FALSE))</f>
        <v/>
      </c>
      <c r="L229" s="2" t="str">
        <f>IF(I229="","",VLOOKUP(I229,[1]ISO辞書!A:B,2,FALSE))</f>
        <v/>
      </c>
      <c r="M229" s="3" t="str">
        <f t="shared" si="3"/>
        <v/>
      </c>
    </row>
    <row r="230" spans="1:13" hidden="1">
      <c r="A230" s="2" t="str">
        <f>IF(C230="","",VLOOKUP(C230,[1]ISO辞書!A:C,2,FALSE))</f>
        <v/>
      </c>
      <c r="B230" s="3" t="str">
        <f>IF(C230="","",VLOOKUP(C230,[1]ISO辞書!A:C,3,FALSE))</f>
        <v/>
      </c>
      <c r="J230" s="2" t="str">
        <f>IF(G230="","",VLOOKUP(G230,[1]ISO辞書!A:B,2,FALSE))</f>
        <v/>
      </c>
      <c r="K230" s="2" t="str">
        <f>IF(H230="","",VLOOKUP(H230,[1]ISO辞書!A:B,2,FALSE))</f>
        <v/>
      </c>
      <c r="L230" s="2" t="str">
        <f>IF(I230="","",VLOOKUP(I230,[1]ISO辞書!A:B,2,FALSE))</f>
        <v/>
      </c>
      <c r="M230" s="3" t="str">
        <f t="shared" si="3"/>
        <v/>
      </c>
    </row>
    <row r="231" spans="1:13" hidden="1">
      <c r="A231" s="2" t="str">
        <f>IF(C231="","",VLOOKUP(C231,[1]ISO辞書!A:C,2,FALSE))</f>
        <v/>
      </c>
      <c r="B231" s="3" t="str">
        <f>IF(C231="","",VLOOKUP(C231,[1]ISO辞書!A:C,3,FALSE))</f>
        <v/>
      </c>
      <c r="J231" s="2" t="str">
        <f>IF(G231="","",VLOOKUP(G231,[1]ISO辞書!A:B,2,FALSE))</f>
        <v/>
      </c>
      <c r="K231" s="2" t="str">
        <f>IF(H231="","",VLOOKUP(H231,[1]ISO辞書!A:B,2,FALSE))</f>
        <v/>
      </c>
      <c r="L231" s="2" t="str">
        <f>IF(I231="","",VLOOKUP(I231,[1]ISO辞書!A:B,2,FALSE))</f>
        <v/>
      </c>
      <c r="M231" s="3" t="str">
        <f t="shared" si="3"/>
        <v/>
      </c>
    </row>
    <row r="232" spans="1:13" hidden="1">
      <c r="A232" s="2" t="str">
        <f>IF(C232="","",VLOOKUP(C232,[1]ISO辞書!A:C,2,FALSE))</f>
        <v/>
      </c>
      <c r="B232" s="3" t="str">
        <f>IF(C232="","",VLOOKUP(C232,[1]ISO辞書!A:C,3,FALSE))</f>
        <v/>
      </c>
      <c r="J232" s="2" t="str">
        <f>IF(G232="","",VLOOKUP(G232,[1]ISO辞書!A:B,2,FALSE))</f>
        <v/>
      </c>
      <c r="K232" s="2" t="str">
        <f>IF(H232="","",VLOOKUP(H232,[1]ISO辞書!A:B,2,FALSE))</f>
        <v/>
      </c>
      <c r="L232" s="2" t="str">
        <f>IF(I232="","",VLOOKUP(I232,[1]ISO辞書!A:B,2,FALSE))</f>
        <v/>
      </c>
      <c r="M232" s="3" t="str">
        <f t="shared" si="3"/>
        <v/>
      </c>
    </row>
    <row r="233" spans="1:13" hidden="1">
      <c r="A233" s="2" t="str">
        <f>IF(C233="","",VLOOKUP(C233,[1]ISO辞書!A:C,2,FALSE))</f>
        <v/>
      </c>
      <c r="B233" s="3" t="str">
        <f>IF(C233="","",VLOOKUP(C233,[1]ISO辞書!A:C,3,FALSE))</f>
        <v/>
      </c>
      <c r="J233" s="2" t="str">
        <f>IF(G233="","",VLOOKUP(G233,[1]ISO辞書!A:B,2,FALSE))</f>
        <v/>
      </c>
      <c r="K233" s="2" t="str">
        <f>IF(H233="","",VLOOKUP(H233,[1]ISO辞書!A:B,2,FALSE))</f>
        <v/>
      </c>
      <c r="L233" s="2" t="str">
        <f>IF(I233="","",VLOOKUP(I233,[1]ISO辞書!A:B,2,FALSE))</f>
        <v/>
      </c>
      <c r="M233" s="3" t="str">
        <f t="shared" si="3"/>
        <v/>
      </c>
    </row>
    <row r="234" spans="1:13" hidden="1">
      <c r="A234" s="2" t="str">
        <f>IF(C234="","",VLOOKUP(C234,[1]ISO辞書!A:C,2,FALSE))</f>
        <v/>
      </c>
      <c r="B234" s="3" t="str">
        <f>IF(C234="","",VLOOKUP(C234,[1]ISO辞書!A:C,3,FALSE))</f>
        <v/>
      </c>
      <c r="J234" s="2" t="str">
        <f>IF(G234="","",VLOOKUP(G234,[1]ISO辞書!A:B,2,FALSE))</f>
        <v/>
      </c>
      <c r="K234" s="2" t="str">
        <f>IF(H234="","",VLOOKUP(H234,[1]ISO辞書!A:B,2,FALSE))</f>
        <v/>
      </c>
      <c r="L234" s="2" t="str">
        <f>IF(I234="","",VLOOKUP(I234,[1]ISO辞書!A:B,2,FALSE))</f>
        <v/>
      </c>
      <c r="M234" s="3" t="str">
        <f t="shared" si="3"/>
        <v/>
      </c>
    </row>
    <row r="235" spans="1:13" hidden="1">
      <c r="A235" s="2" t="str">
        <f>IF(C235="","",VLOOKUP(C235,[1]ISO辞書!A:C,2,FALSE))</f>
        <v/>
      </c>
      <c r="B235" s="3" t="str">
        <f>IF(C235="","",VLOOKUP(C235,[1]ISO辞書!A:C,3,FALSE))</f>
        <v/>
      </c>
      <c r="J235" s="2" t="str">
        <f>IF(G235="","",VLOOKUP(G235,[1]ISO辞書!A:B,2,FALSE))</f>
        <v/>
      </c>
      <c r="K235" s="2" t="str">
        <f>IF(H235="","",VLOOKUP(H235,[1]ISO辞書!A:B,2,FALSE))</f>
        <v/>
      </c>
      <c r="L235" s="2" t="str">
        <f>IF(I235="","",VLOOKUP(I235,[1]ISO辞書!A:B,2,FALSE))</f>
        <v/>
      </c>
      <c r="M235" s="3" t="str">
        <f t="shared" si="3"/>
        <v/>
      </c>
    </row>
    <row r="236" spans="1:13" hidden="1">
      <c r="A236" s="2" t="str">
        <f>IF(C236="","",VLOOKUP(C236,[1]ISO辞書!A:C,2,FALSE))</f>
        <v/>
      </c>
      <c r="B236" s="3" t="str">
        <f>IF(C236="","",VLOOKUP(C236,[1]ISO辞書!A:C,3,FALSE))</f>
        <v/>
      </c>
      <c r="J236" s="2" t="str">
        <f>IF(G236="","",VLOOKUP(G236,[1]ISO辞書!A:B,2,FALSE))</f>
        <v/>
      </c>
      <c r="K236" s="2" t="str">
        <f>IF(H236="","",VLOOKUP(H236,[1]ISO辞書!A:B,2,FALSE))</f>
        <v/>
      </c>
      <c r="L236" s="2" t="str">
        <f>IF(I236="","",VLOOKUP(I236,[1]ISO辞書!A:B,2,FALSE))</f>
        <v/>
      </c>
      <c r="M236" s="3" t="str">
        <f t="shared" si="3"/>
        <v/>
      </c>
    </row>
    <row r="237" spans="1:13" hidden="1">
      <c r="A237" s="2" t="str">
        <f>IF(C237="","",VLOOKUP(C237,[1]ISO辞書!A:C,2,FALSE))</f>
        <v/>
      </c>
      <c r="B237" s="3" t="str">
        <f>IF(C237="","",VLOOKUP(C237,[1]ISO辞書!A:C,3,FALSE))</f>
        <v/>
      </c>
      <c r="J237" s="2" t="str">
        <f>IF(G237="","",VLOOKUP(G237,[1]ISO辞書!A:B,2,FALSE))</f>
        <v/>
      </c>
      <c r="K237" s="2" t="str">
        <f>IF(H237="","",VLOOKUP(H237,[1]ISO辞書!A:B,2,FALSE))</f>
        <v/>
      </c>
      <c r="L237" s="2" t="str">
        <f>IF(I237="","",VLOOKUP(I237,[1]ISO辞書!A:B,2,FALSE))</f>
        <v/>
      </c>
      <c r="M237" s="3" t="str">
        <f t="shared" si="3"/>
        <v/>
      </c>
    </row>
    <row r="238" spans="1:13" hidden="1">
      <c r="A238" s="2" t="str">
        <f>IF(C238="","",VLOOKUP(C238,[1]ISO辞書!A:C,2,FALSE))</f>
        <v/>
      </c>
      <c r="B238" s="3" t="str">
        <f>IF(C238="","",VLOOKUP(C238,[1]ISO辞書!A:C,3,FALSE))</f>
        <v/>
      </c>
      <c r="J238" s="2" t="str">
        <f>IF(G238="","",VLOOKUP(G238,[1]ISO辞書!A:B,2,FALSE))</f>
        <v/>
      </c>
      <c r="K238" s="2" t="str">
        <f>IF(H238="","",VLOOKUP(H238,[1]ISO辞書!A:B,2,FALSE))</f>
        <v/>
      </c>
      <c r="L238" s="2" t="str">
        <f>IF(I238="","",VLOOKUP(I238,[1]ISO辞書!A:B,2,FALSE))</f>
        <v/>
      </c>
      <c r="M238" s="3" t="str">
        <f t="shared" si="3"/>
        <v/>
      </c>
    </row>
    <row r="239" spans="1:13" hidden="1">
      <c r="A239" s="2" t="str">
        <f>IF(C239="","",VLOOKUP(C239,[1]ISO辞書!A:C,2,FALSE))</f>
        <v/>
      </c>
      <c r="B239" s="3" t="str">
        <f>IF(C239="","",VLOOKUP(C239,[1]ISO辞書!A:C,3,FALSE))</f>
        <v/>
      </c>
      <c r="J239" s="2" t="str">
        <f>IF(G239="","",VLOOKUP(G239,[1]ISO辞書!A:B,2,FALSE))</f>
        <v/>
      </c>
      <c r="K239" s="2" t="str">
        <f>IF(H239="","",VLOOKUP(H239,[1]ISO辞書!A:B,2,FALSE))</f>
        <v/>
      </c>
      <c r="L239" s="2" t="str">
        <f>IF(I239="","",VLOOKUP(I239,[1]ISO辞書!A:B,2,FALSE))</f>
        <v/>
      </c>
      <c r="M239" s="3" t="str">
        <f t="shared" si="3"/>
        <v/>
      </c>
    </row>
    <row r="240" spans="1:13" hidden="1">
      <c r="A240" s="2" t="str">
        <f>IF(C240="","",VLOOKUP(C240,[1]ISO辞書!A:C,2,FALSE))</f>
        <v/>
      </c>
      <c r="B240" s="3" t="str">
        <f>IF(C240="","",VLOOKUP(C240,[1]ISO辞書!A:C,3,FALSE))</f>
        <v/>
      </c>
      <c r="J240" s="2" t="str">
        <f>IF(G240="","",VLOOKUP(G240,[1]ISO辞書!A:B,2,FALSE))</f>
        <v/>
      </c>
      <c r="K240" s="2" t="str">
        <f>IF(H240="","",VLOOKUP(H240,[1]ISO辞書!A:B,2,FALSE))</f>
        <v/>
      </c>
      <c r="L240" s="2" t="str">
        <f>IF(I240="","",VLOOKUP(I240,[1]ISO辞書!A:B,2,FALSE))</f>
        <v/>
      </c>
      <c r="M240" s="3" t="str">
        <f t="shared" si="3"/>
        <v/>
      </c>
    </row>
    <row r="241" spans="1:13" hidden="1">
      <c r="A241" s="2" t="str">
        <f>IF(C241="","",VLOOKUP(C241,[1]ISO辞書!A:C,2,FALSE))</f>
        <v/>
      </c>
      <c r="B241" s="3" t="str">
        <f>IF(C241="","",VLOOKUP(C241,[1]ISO辞書!A:C,3,FALSE))</f>
        <v/>
      </c>
      <c r="J241" s="2" t="str">
        <f>IF(G241="","",VLOOKUP(G241,[1]ISO辞書!A:B,2,FALSE))</f>
        <v/>
      </c>
      <c r="K241" s="2" t="str">
        <f>IF(H241="","",VLOOKUP(H241,[1]ISO辞書!A:B,2,FALSE))</f>
        <v/>
      </c>
      <c r="L241" s="2" t="str">
        <f>IF(I241="","",VLOOKUP(I241,[1]ISO辞書!A:B,2,FALSE))</f>
        <v/>
      </c>
      <c r="M241" s="3" t="str">
        <f t="shared" si="3"/>
        <v/>
      </c>
    </row>
    <row r="242" spans="1:13" hidden="1">
      <c r="A242" s="2" t="str">
        <f>IF(C242="","",VLOOKUP(C242,[1]ISO辞書!A:C,2,FALSE))</f>
        <v/>
      </c>
      <c r="B242" s="3" t="str">
        <f>IF(C242="","",VLOOKUP(C242,[1]ISO辞書!A:C,3,FALSE))</f>
        <v/>
      </c>
      <c r="J242" s="2" t="str">
        <f>IF(G242="","",VLOOKUP(G242,[1]ISO辞書!A:B,2,FALSE))</f>
        <v/>
      </c>
      <c r="K242" s="2" t="str">
        <f>IF(H242="","",VLOOKUP(H242,[1]ISO辞書!A:B,2,FALSE))</f>
        <v/>
      </c>
      <c r="L242" s="2" t="str">
        <f>IF(I242="","",VLOOKUP(I242,[1]ISO辞書!A:B,2,FALSE))</f>
        <v/>
      </c>
      <c r="M242" s="3" t="str">
        <f t="shared" si="3"/>
        <v/>
      </c>
    </row>
    <row r="243" spans="1:13" hidden="1">
      <c r="A243" s="2" t="str">
        <f>IF(C243="","",VLOOKUP(C243,[1]ISO辞書!A:C,2,FALSE))</f>
        <v/>
      </c>
      <c r="B243" s="3" t="str">
        <f>IF(C243="","",VLOOKUP(C243,[1]ISO辞書!A:C,3,FALSE))</f>
        <v/>
      </c>
      <c r="J243" s="2" t="str">
        <f>IF(G243="","",VLOOKUP(G243,[1]ISO辞書!A:B,2,FALSE))</f>
        <v/>
      </c>
      <c r="K243" s="2" t="str">
        <f>IF(H243="","",VLOOKUP(H243,[1]ISO辞書!A:B,2,FALSE))</f>
        <v/>
      </c>
      <c r="L243" s="2" t="str">
        <f>IF(I243="","",VLOOKUP(I243,[1]ISO辞書!A:B,2,FALSE))</f>
        <v/>
      </c>
      <c r="M243" s="3" t="str">
        <f t="shared" si="3"/>
        <v/>
      </c>
    </row>
    <row r="244" spans="1:13" hidden="1">
      <c r="A244" s="2" t="str">
        <f>IF(C244="","",VLOOKUP(C244,[1]ISO辞書!A:C,2,FALSE))</f>
        <v/>
      </c>
      <c r="B244" s="3" t="str">
        <f>IF(C244="","",VLOOKUP(C244,[1]ISO辞書!A:C,3,FALSE))</f>
        <v/>
      </c>
      <c r="J244" s="2" t="str">
        <f>IF(G244="","",VLOOKUP(G244,[1]ISO辞書!A:B,2,FALSE))</f>
        <v/>
      </c>
      <c r="K244" s="2" t="str">
        <f>IF(H244="","",VLOOKUP(H244,[1]ISO辞書!A:B,2,FALSE))</f>
        <v/>
      </c>
      <c r="L244" s="2" t="str">
        <f>IF(I244="","",VLOOKUP(I244,[1]ISO辞書!A:B,2,FALSE))</f>
        <v/>
      </c>
      <c r="M244" s="3" t="str">
        <f t="shared" si="3"/>
        <v/>
      </c>
    </row>
    <row r="245" spans="1:13" hidden="1">
      <c r="A245" s="2" t="str">
        <f>IF(C245="","",VLOOKUP(C245,[1]ISO辞書!A:C,2,FALSE))</f>
        <v/>
      </c>
      <c r="B245" s="3" t="str">
        <f>IF(C245="","",VLOOKUP(C245,[1]ISO辞書!A:C,3,FALSE))</f>
        <v/>
      </c>
      <c r="J245" s="2" t="str">
        <f>IF(G245="","",VLOOKUP(G245,[1]ISO辞書!A:B,2,FALSE))</f>
        <v/>
      </c>
      <c r="K245" s="2" t="str">
        <f>IF(H245="","",VLOOKUP(H245,[1]ISO辞書!A:B,2,FALSE))</f>
        <v/>
      </c>
      <c r="L245" s="2" t="str">
        <f>IF(I245="","",VLOOKUP(I245,[1]ISO辞書!A:B,2,FALSE))</f>
        <v/>
      </c>
      <c r="M245" s="3" t="str">
        <f t="shared" si="3"/>
        <v/>
      </c>
    </row>
    <row r="246" spans="1:13" hidden="1">
      <c r="A246" s="2" t="str">
        <f>IF(C246="","",VLOOKUP(C246,[1]ISO辞書!A:C,2,FALSE))</f>
        <v/>
      </c>
      <c r="B246" s="3" t="str">
        <f>IF(C246="","",VLOOKUP(C246,[1]ISO辞書!A:C,3,FALSE))</f>
        <v/>
      </c>
      <c r="J246" s="2" t="str">
        <f>IF(G246="","",VLOOKUP(G246,[1]ISO辞書!A:B,2,FALSE))</f>
        <v/>
      </c>
      <c r="K246" s="2" t="str">
        <f>IF(H246="","",VLOOKUP(H246,[1]ISO辞書!A:B,2,FALSE))</f>
        <v/>
      </c>
      <c r="L246" s="2" t="str">
        <f>IF(I246="","",VLOOKUP(I246,[1]ISO辞書!A:B,2,FALSE))</f>
        <v/>
      </c>
      <c r="M246" s="3" t="str">
        <f t="shared" si="3"/>
        <v/>
      </c>
    </row>
    <row r="247" spans="1:13" hidden="1">
      <c r="A247" s="2" t="str">
        <f>IF(C247="","",VLOOKUP(C247,[1]ISO辞書!A:C,2,FALSE))</f>
        <v/>
      </c>
      <c r="B247" s="3" t="str">
        <f>IF(C247="","",VLOOKUP(C247,[1]ISO辞書!A:C,3,FALSE))</f>
        <v/>
      </c>
      <c r="J247" s="2" t="str">
        <f>IF(G247="","",VLOOKUP(G247,[1]ISO辞書!A:B,2,FALSE))</f>
        <v/>
      </c>
      <c r="K247" s="2" t="str">
        <f>IF(H247="","",VLOOKUP(H247,[1]ISO辞書!A:B,2,FALSE))</f>
        <v/>
      </c>
      <c r="L247" s="2" t="str">
        <f>IF(I247="","",VLOOKUP(I247,[1]ISO辞書!A:B,2,FALSE))</f>
        <v/>
      </c>
      <c r="M247" s="3" t="str">
        <f t="shared" si="3"/>
        <v/>
      </c>
    </row>
    <row r="248" spans="1:13" hidden="1">
      <c r="A248" s="2" t="str">
        <f>IF(C248="","",VLOOKUP(C248,[1]ISO辞書!A:C,2,FALSE))</f>
        <v/>
      </c>
      <c r="B248" s="3" t="str">
        <f>IF(C248="","",VLOOKUP(C248,[1]ISO辞書!A:C,3,FALSE))</f>
        <v/>
      </c>
      <c r="J248" s="2" t="str">
        <f>IF(G248="","",VLOOKUP(G248,[1]ISO辞書!A:B,2,FALSE))</f>
        <v/>
      </c>
      <c r="K248" s="2" t="str">
        <f>IF(H248="","",VLOOKUP(H248,[1]ISO辞書!A:B,2,FALSE))</f>
        <v/>
      </c>
      <c r="L248" s="2" t="str">
        <f>IF(I248="","",VLOOKUP(I248,[1]ISO辞書!A:B,2,FALSE))</f>
        <v/>
      </c>
      <c r="M248" s="3" t="str">
        <f t="shared" si="3"/>
        <v/>
      </c>
    </row>
    <row r="249" spans="1:13" hidden="1">
      <c r="A249" s="2" t="str">
        <f>IF(C249="","",VLOOKUP(C249,[1]ISO辞書!A:C,2,FALSE))</f>
        <v/>
      </c>
      <c r="B249" s="3" t="str">
        <f>IF(C249="","",VLOOKUP(C249,[1]ISO辞書!A:C,3,FALSE))</f>
        <v/>
      </c>
      <c r="J249" s="2" t="str">
        <f>IF(G249="","",VLOOKUP(G249,[1]ISO辞書!A:B,2,FALSE))</f>
        <v/>
      </c>
      <c r="K249" s="2" t="str">
        <f>IF(H249="","",VLOOKUP(H249,[1]ISO辞書!A:B,2,FALSE))</f>
        <v/>
      </c>
      <c r="L249" s="2" t="str">
        <f>IF(I249="","",VLOOKUP(I249,[1]ISO辞書!A:B,2,FALSE))</f>
        <v/>
      </c>
      <c r="M249" s="3" t="str">
        <f t="shared" si="3"/>
        <v/>
      </c>
    </row>
    <row r="250" spans="1:13" hidden="1">
      <c r="A250" s="2" t="str">
        <f>IF(C250="","",VLOOKUP(C250,[1]ISO辞書!A:C,2,FALSE))</f>
        <v/>
      </c>
      <c r="B250" s="3" t="str">
        <f>IF(C250="","",VLOOKUP(C250,[1]ISO辞書!A:C,3,FALSE))</f>
        <v/>
      </c>
      <c r="J250" s="2" t="str">
        <f>IF(G250="","",VLOOKUP(G250,[1]ISO辞書!A:B,2,FALSE))</f>
        <v/>
      </c>
      <c r="K250" s="2" t="str">
        <f>IF(H250="","",VLOOKUP(H250,[1]ISO辞書!A:B,2,FALSE))</f>
        <v/>
      </c>
      <c r="L250" s="2" t="str">
        <f>IF(I250="","",VLOOKUP(I250,[1]ISO辞書!A:B,2,FALSE))</f>
        <v/>
      </c>
      <c r="M250" s="3" t="str">
        <f t="shared" si="3"/>
        <v/>
      </c>
    </row>
    <row r="251" spans="1:13" hidden="1">
      <c r="A251" s="2" t="str">
        <f>IF(C251="","",VLOOKUP(C251,[1]ISO辞書!A:C,2,FALSE))</f>
        <v/>
      </c>
      <c r="B251" s="3" t="str">
        <f>IF(C251="","",VLOOKUP(C251,[1]ISO辞書!A:C,3,FALSE))</f>
        <v/>
      </c>
      <c r="J251" s="2" t="str">
        <f>IF(G251="","",VLOOKUP(G251,[1]ISO辞書!A:B,2,FALSE))</f>
        <v/>
      </c>
      <c r="K251" s="2" t="str">
        <f>IF(H251="","",VLOOKUP(H251,[1]ISO辞書!A:B,2,FALSE))</f>
        <v/>
      </c>
      <c r="L251" s="2" t="str">
        <f>IF(I251="","",VLOOKUP(I251,[1]ISO辞書!A:B,2,FALSE))</f>
        <v/>
      </c>
      <c r="M251" s="3" t="str">
        <f t="shared" si="3"/>
        <v/>
      </c>
    </row>
    <row r="252" spans="1:13" hidden="1">
      <c r="A252" s="2" t="str">
        <f>IF(C252="","",VLOOKUP(C252,[1]ISO辞書!A:C,2,FALSE))</f>
        <v/>
      </c>
      <c r="B252" s="3" t="str">
        <f>IF(C252="","",VLOOKUP(C252,[1]ISO辞書!A:C,3,FALSE))</f>
        <v/>
      </c>
      <c r="J252" s="2" t="str">
        <f>IF(G252="","",VLOOKUP(G252,[1]ISO辞書!A:B,2,FALSE))</f>
        <v/>
      </c>
      <c r="K252" s="2" t="str">
        <f>IF(H252="","",VLOOKUP(H252,[1]ISO辞書!A:B,2,FALSE))</f>
        <v/>
      </c>
      <c r="L252" s="2" t="str">
        <f>IF(I252="","",VLOOKUP(I252,[1]ISO辞書!A:B,2,FALSE))</f>
        <v/>
      </c>
      <c r="M252" s="3" t="str">
        <f t="shared" si="3"/>
        <v/>
      </c>
    </row>
    <row r="253" spans="1:13" hidden="1">
      <c r="A253" s="2" t="str">
        <f>IF(C253="","",VLOOKUP(C253,[1]ISO辞書!A:C,2,FALSE))</f>
        <v/>
      </c>
      <c r="B253" s="3" t="str">
        <f>IF(C253="","",VLOOKUP(C253,[1]ISO辞書!A:C,3,FALSE))</f>
        <v/>
      </c>
      <c r="J253" s="2" t="str">
        <f>IF(G253="","",VLOOKUP(G253,[1]ISO辞書!A:B,2,FALSE))</f>
        <v/>
      </c>
      <c r="K253" s="2" t="str">
        <f>IF(H253="","",VLOOKUP(H253,[1]ISO辞書!A:B,2,FALSE))</f>
        <v/>
      </c>
      <c r="L253" s="2" t="str">
        <f>IF(I253="","",VLOOKUP(I253,[1]ISO辞書!A:B,2,FALSE))</f>
        <v/>
      </c>
      <c r="M253" s="3" t="str">
        <f t="shared" si="3"/>
        <v/>
      </c>
    </row>
    <row r="254" spans="1:13" hidden="1">
      <c r="A254" s="2" t="str">
        <f>IF(C254="","",VLOOKUP(C254,[1]ISO辞書!A:C,2,FALSE))</f>
        <v/>
      </c>
      <c r="B254" s="3" t="str">
        <f>IF(C254="","",VLOOKUP(C254,[1]ISO辞書!A:C,3,FALSE))</f>
        <v/>
      </c>
      <c r="J254" s="2" t="str">
        <f>IF(G254="","",VLOOKUP(G254,[1]ISO辞書!A:B,2,FALSE))</f>
        <v/>
      </c>
      <c r="K254" s="2" t="str">
        <f>IF(H254="","",VLOOKUP(H254,[1]ISO辞書!A:B,2,FALSE))</f>
        <v/>
      </c>
      <c r="L254" s="2" t="str">
        <f>IF(I254="","",VLOOKUP(I254,[1]ISO辞書!A:B,2,FALSE))</f>
        <v/>
      </c>
      <c r="M254" s="3" t="str">
        <f t="shared" si="3"/>
        <v/>
      </c>
    </row>
    <row r="255" spans="1:13" hidden="1">
      <c r="A255" s="2" t="str">
        <f>IF(C255="","",VLOOKUP(C255,[1]ISO辞書!A:C,2,FALSE))</f>
        <v/>
      </c>
      <c r="B255" s="3" t="str">
        <f>IF(C255="","",VLOOKUP(C255,[1]ISO辞書!A:C,3,FALSE))</f>
        <v/>
      </c>
      <c r="J255" s="2" t="str">
        <f>IF(G255="","",VLOOKUP(G255,[1]ISO辞書!A:B,2,FALSE))</f>
        <v/>
      </c>
      <c r="K255" s="2" t="str">
        <f>IF(H255="","",VLOOKUP(H255,[1]ISO辞書!A:B,2,FALSE))</f>
        <v/>
      </c>
      <c r="L255" s="2" t="str">
        <f>IF(I255="","",VLOOKUP(I255,[1]ISO辞書!A:B,2,FALSE))</f>
        <v/>
      </c>
      <c r="M255" s="3" t="str">
        <f t="shared" si="3"/>
        <v/>
      </c>
    </row>
    <row r="256" spans="1:13" hidden="1">
      <c r="A256" s="2" t="str">
        <f>IF(C256="","",VLOOKUP(C256,[1]ISO辞書!A:C,2,FALSE))</f>
        <v/>
      </c>
      <c r="B256" s="3" t="str">
        <f>IF(C256="","",VLOOKUP(C256,[1]ISO辞書!A:C,3,FALSE))</f>
        <v/>
      </c>
      <c r="J256" s="2" t="str">
        <f>IF(G256="","",VLOOKUP(G256,[1]ISO辞書!A:B,2,FALSE))</f>
        <v/>
      </c>
      <c r="K256" s="2" t="str">
        <f>IF(H256="","",VLOOKUP(H256,[1]ISO辞書!A:B,2,FALSE))</f>
        <v/>
      </c>
      <c r="L256" s="2" t="str">
        <f>IF(I256="","",VLOOKUP(I256,[1]ISO辞書!A:B,2,FALSE))</f>
        <v/>
      </c>
      <c r="M256" s="3" t="str">
        <f t="shared" si="3"/>
        <v/>
      </c>
    </row>
    <row r="257" spans="1:13" hidden="1">
      <c r="A257" s="2" t="str">
        <f>IF(C257="","",VLOOKUP(C257,[1]ISO辞書!A:C,2,FALSE))</f>
        <v/>
      </c>
      <c r="B257" s="3" t="str">
        <f>IF(C257="","",VLOOKUP(C257,[1]ISO辞書!A:C,3,FALSE))</f>
        <v/>
      </c>
      <c r="J257" s="2" t="str">
        <f>IF(G257="","",VLOOKUP(G257,[1]ISO辞書!A:B,2,FALSE))</f>
        <v/>
      </c>
      <c r="K257" s="2" t="str">
        <f>IF(H257="","",VLOOKUP(H257,[1]ISO辞書!A:B,2,FALSE))</f>
        <v/>
      </c>
      <c r="L257" s="2" t="str">
        <f>IF(I257="","",VLOOKUP(I257,[1]ISO辞書!A:B,2,FALSE))</f>
        <v/>
      </c>
      <c r="M257" s="3" t="str">
        <f t="shared" si="3"/>
        <v/>
      </c>
    </row>
    <row r="258" spans="1:13" hidden="1">
      <c r="A258" s="2" t="str">
        <f>IF(C258="","",VLOOKUP(C258,[1]ISO辞書!A:C,2,FALSE))</f>
        <v/>
      </c>
      <c r="B258" s="3" t="str">
        <f>IF(C258="","",VLOOKUP(C258,[1]ISO辞書!A:C,3,FALSE))</f>
        <v/>
      </c>
      <c r="J258" s="2" t="str">
        <f>IF(G258="","",VLOOKUP(G258,[1]ISO辞書!A:B,2,FALSE))</f>
        <v/>
      </c>
      <c r="K258" s="2" t="str">
        <f>IF(H258="","",VLOOKUP(H258,[1]ISO辞書!A:B,2,FALSE))</f>
        <v/>
      </c>
      <c r="L258" s="2" t="str">
        <f>IF(I258="","",VLOOKUP(I258,[1]ISO辞書!A:B,2,FALSE))</f>
        <v/>
      </c>
      <c r="M258" s="3" t="str">
        <f t="shared" ref="M258:M321" si="4">_xlfn.TEXTJOIN(";",TRUE,J258:L258)</f>
        <v/>
      </c>
    </row>
    <row r="259" spans="1:13" hidden="1">
      <c r="A259" s="2" t="str">
        <f>IF(C259="","",VLOOKUP(C259,[1]ISO辞書!A:C,2,FALSE))</f>
        <v/>
      </c>
      <c r="B259" s="3" t="str">
        <f>IF(C259="","",VLOOKUP(C259,[1]ISO辞書!A:C,3,FALSE))</f>
        <v/>
      </c>
      <c r="J259" s="2" t="str">
        <f>IF(G259="","",VLOOKUP(G259,[1]ISO辞書!A:B,2,FALSE))</f>
        <v/>
      </c>
      <c r="K259" s="2" t="str">
        <f>IF(H259="","",VLOOKUP(H259,[1]ISO辞書!A:B,2,FALSE))</f>
        <v/>
      </c>
      <c r="L259" s="2" t="str">
        <f>IF(I259="","",VLOOKUP(I259,[1]ISO辞書!A:B,2,FALSE))</f>
        <v/>
      </c>
      <c r="M259" s="3" t="str">
        <f t="shared" si="4"/>
        <v/>
      </c>
    </row>
    <row r="260" spans="1:13" hidden="1">
      <c r="A260" s="2" t="str">
        <f>IF(C260="","",VLOOKUP(C260,[1]ISO辞書!A:C,2,FALSE))</f>
        <v/>
      </c>
      <c r="B260" s="3" t="str">
        <f>IF(C260="","",VLOOKUP(C260,[1]ISO辞書!A:C,3,FALSE))</f>
        <v/>
      </c>
      <c r="J260" s="2" t="str">
        <f>IF(G260="","",VLOOKUP(G260,[1]ISO辞書!A:B,2,FALSE))</f>
        <v/>
      </c>
      <c r="K260" s="2" t="str">
        <f>IF(H260="","",VLOOKUP(H260,[1]ISO辞書!A:B,2,FALSE))</f>
        <v/>
      </c>
      <c r="L260" s="2" t="str">
        <f>IF(I260="","",VLOOKUP(I260,[1]ISO辞書!A:B,2,FALSE))</f>
        <v/>
      </c>
      <c r="M260" s="3" t="str">
        <f t="shared" si="4"/>
        <v/>
      </c>
    </row>
    <row r="261" spans="1:13" hidden="1">
      <c r="A261" s="2" t="str">
        <f>IF(C261="","",VLOOKUP(C261,[1]ISO辞書!A:C,2,FALSE))</f>
        <v/>
      </c>
      <c r="B261" s="3" t="str">
        <f>IF(C261="","",VLOOKUP(C261,[1]ISO辞書!A:C,3,FALSE))</f>
        <v/>
      </c>
      <c r="J261" s="2" t="str">
        <f>IF(G261="","",VLOOKUP(G261,[1]ISO辞書!A:B,2,FALSE))</f>
        <v/>
      </c>
      <c r="K261" s="2" t="str">
        <f>IF(H261="","",VLOOKUP(H261,[1]ISO辞書!A:B,2,FALSE))</f>
        <v/>
      </c>
      <c r="L261" s="2" t="str">
        <f>IF(I261="","",VLOOKUP(I261,[1]ISO辞書!A:B,2,FALSE))</f>
        <v/>
      </c>
      <c r="M261" s="3" t="str">
        <f t="shared" si="4"/>
        <v/>
      </c>
    </row>
    <row r="262" spans="1:13" hidden="1">
      <c r="A262" s="2" t="str">
        <f>IF(C262="","",VLOOKUP(C262,[1]ISO辞書!A:C,2,FALSE))</f>
        <v/>
      </c>
      <c r="B262" s="3" t="str">
        <f>IF(C262="","",VLOOKUP(C262,[1]ISO辞書!A:C,3,FALSE))</f>
        <v/>
      </c>
      <c r="J262" s="2" t="str">
        <f>IF(G262="","",VLOOKUP(G262,[1]ISO辞書!A:B,2,FALSE))</f>
        <v/>
      </c>
      <c r="K262" s="2" t="str">
        <f>IF(H262="","",VLOOKUP(H262,[1]ISO辞書!A:B,2,FALSE))</f>
        <v/>
      </c>
      <c r="L262" s="2" t="str">
        <f>IF(I262="","",VLOOKUP(I262,[1]ISO辞書!A:B,2,FALSE))</f>
        <v/>
      </c>
      <c r="M262" s="3" t="str">
        <f t="shared" si="4"/>
        <v/>
      </c>
    </row>
    <row r="263" spans="1:13" hidden="1">
      <c r="A263" s="2" t="str">
        <f>IF(C263="","",VLOOKUP(C263,[1]ISO辞書!A:C,2,FALSE))</f>
        <v/>
      </c>
      <c r="B263" s="3" t="str">
        <f>IF(C263="","",VLOOKUP(C263,[1]ISO辞書!A:C,3,FALSE))</f>
        <v/>
      </c>
      <c r="J263" s="2" t="str">
        <f>IF(G263="","",VLOOKUP(G263,[1]ISO辞書!A:B,2,FALSE))</f>
        <v/>
      </c>
      <c r="K263" s="2" t="str">
        <f>IF(H263="","",VLOOKUP(H263,[1]ISO辞書!A:B,2,FALSE))</f>
        <v/>
      </c>
      <c r="L263" s="2" t="str">
        <f>IF(I263="","",VLOOKUP(I263,[1]ISO辞書!A:B,2,FALSE))</f>
        <v/>
      </c>
      <c r="M263" s="3" t="str">
        <f t="shared" si="4"/>
        <v/>
      </c>
    </row>
    <row r="264" spans="1:13" hidden="1">
      <c r="A264" s="2" t="str">
        <f>IF(C264="","",VLOOKUP(C264,[1]ISO辞書!A:C,2,FALSE))</f>
        <v/>
      </c>
      <c r="B264" s="3" t="str">
        <f>IF(C264="","",VLOOKUP(C264,[1]ISO辞書!A:C,3,FALSE))</f>
        <v/>
      </c>
      <c r="J264" s="2" t="str">
        <f>IF(G264="","",VLOOKUP(G264,[1]ISO辞書!A:B,2,FALSE))</f>
        <v/>
      </c>
      <c r="K264" s="2" t="str">
        <f>IF(H264="","",VLOOKUP(H264,[1]ISO辞書!A:B,2,FALSE))</f>
        <v/>
      </c>
      <c r="L264" s="2" t="str">
        <f>IF(I264="","",VLOOKUP(I264,[1]ISO辞書!A:B,2,FALSE))</f>
        <v/>
      </c>
      <c r="M264" s="3" t="str">
        <f t="shared" si="4"/>
        <v/>
      </c>
    </row>
    <row r="265" spans="1:13" hidden="1">
      <c r="A265" s="2" t="str">
        <f>IF(C265="","",VLOOKUP(C265,[1]ISO辞書!A:C,2,FALSE))</f>
        <v/>
      </c>
      <c r="B265" s="3" t="str">
        <f>IF(C265="","",VLOOKUP(C265,[1]ISO辞書!A:C,3,FALSE))</f>
        <v/>
      </c>
      <c r="J265" s="2" t="str">
        <f>IF(G265="","",VLOOKUP(G265,[1]ISO辞書!A:B,2,FALSE))</f>
        <v/>
      </c>
      <c r="K265" s="2" t="str">
        <f>IF(H265="","",VLOOKUP(H265,[1]ISO辞書!A:B,2,FALSE))</f>
        <v/>
      </c>
      <c r="L265" s="2" t="str">
        <f>IF(I265="","",VLOOKUP(I265,[1]ISO辞書!A:B,2,FALSE))</f>
        <v/>
      </c>
      <c r="M265" s="3" t="str">
        <f t="shared" si="4"/>
        <v/>
      </c>
    </row>
    <row r="266" spans="1:13" hidden="1">
      <c r="A266" s="2" t="str">
        <f>IF(C266="","",VLOOKUP(C266,[1]ISO辞書!A:C,2,FALSE))</f>
        <v/>
      </c>
      <c r="B266" s="3" t="str">
        <f>IF(C266="","",VLOOKUP(C266,[1]ISO辞書!A:C,3,FALSE))</f>
        <v/>
      </c>
      <c r="J266" s="2" t="str">
        <f>IF(G266="","",VLOOKUP(G266,[1]ISO辞書!A:B,2,FALSE))</f>
        <v/>
      </c>
      <c r="K266" s="2" t="str">
        <f>IF(H266="","",VLOOKUP(H266,[1]ISO辞書!A:B,2,FALSE))</f>
        <v/>
      </c>
      <c r="L266" s="2" t="str">
        <f>IF(I266="","",VLOOKUP(I266,[1]ISO辞書!A:B,2,FALSE))</f>
        <v/>
      </c>
      <c r="M266" s="3" t="str">
        <f t="shared" si="4"/>
        <v/>
      </c>
    </row>
    <row r="267" spans="1:13" hidden="1">
      <c r="A267" s="2" t="str">
        <f>IF(C267="","",VLOOKUP(C267,[1]ISO辞書!A:C,2,FALSE))</f>
        <v/>
      </c>
      <c r="B267" s="3" t="str">
        <f>IF(C267="","",VLOOKUP(C267,[1]ISO辞書!A:C,3,FALSE))</f>
        <v/>
      </c>
      <c r="J267" s="2" t="str">
        <f>IF(G267="","",VLOOKUP(G267,[1]ISO辞書!A:B,2,FALSE))</f>
        <v/>
      </c>
      <c r="K267" s="2" t="str">
        <f>IF(H267="","",VLOOKUP(H267,[1]ISO辞書!A:B,2,FALSE))</f>
        <v/>
      </c>
      <c r="L267" s="2" t="str">
        <f>IF(I267="","",VLOOKUP(I267,[1]ISO辞書!A:B,2,FALSE))</f>
        <v/>
      </c>
      <c r="M267" s="3" t="str">
        <f t="shared" si="4"/>
        <v/>
      </c>
    </row>
    <row r="268" spans="1:13" hidden="1">
      <c r="A268" s="2" t="str">
        <f>IF(C268="","",VLOOKUP(C268,[1]ISO辞書!A:C,2,FALSE))</f>
        <v/>
      </c>
      <c r="B268" s="3" t="str">
        <f>IF(C268="","",VLOOKUP(C268,[1]ISO辞書!A:C,3,FALSE))</f>
        <v/>
      </c>
      <c r="J268" s="2" t="str">
        <f>IF(G268="","",VLOOKUP(G268,[1]ISO辞書!A:B,2,FALSE))</f>
        <v/>
      </c>
      <c r="K268" s="2" t="str">
        <f>IF(H268="","",VLOOKUP(H268,[1]ISO辞書!A:B,2,FALSE))</f>
        <v/>
      </c>
      <c r="L268" s="2" t="str">
        <f>IF(I268="","",VLOOKUP(I268,[1]ISO辞書!A:B,2,FALSE))</f>
        <v/>
      </c>
      <c r="M268" s="3" t="str">
        <f t="shared" si="4"/>
        <v/>
      </c>
    </row>
    <row r="269" spans="1:13" hidden="1">
      <c r="A269" s="2" t="str">
        <f>IF(C269="","",VLOOKUP(C269,[1]ISO辞書!A:C,2,FALSE))</f>
        <v/>
      </c>
      <c r="B269" s="3" t="str">
        <f>IF(C269="","",VLOOKUP(C269,[1]ISO辞書!A:C,3,FALSE))</f>
        <v/>
      </c>
      <c r="J269" s="2" t="str">
        <f>IF(G269="","",VLOOKUP(G269,[1]ISO辞書!A:B,2,FALSE))</f>
        <v/>
      </c>
      <c r="K269" s="2" t="str">
        <f>IF(H269="","",VLOOKUP(H269,[1]ISO辞書!A:B,2,FALSE))</f>
        <v/>
      </c>
      <c r="L269" s="2" t="str">
        <f>IF(I269="","",VLOOKUP(I269,[1]ISO辞書!A:B,2,FALSE))</f>
        <v/>
      </c>
      <c r="M269" s="3" t="str">
        <f t="shared" si="4"/>
        <v/>
      </c>
    </row>
    <row r="270" spans="1:13" hidden="1">
      <c r="A270" s="2" t="str">
        <f>IF(C270="","",VLOOKUP(C270,[1]ISO辞書!A:C,2,FALSE))</f>
        <v/>
      </c>
      <c r="B270" s="3" t="str">
        <f>IF(C270="","",VLOOKUP(C270,[1]ISO辞書!A:C,3,FALSE))</f>
        <v/>
      </c>
      <c r="J270" s="2" t="str">
        <f>IF(G270="","",VLOOKUP(G270,[1]ISO辞書!A:B,2,FALSE))</f>
        <v/>
      </c>
      <c r="K270" s="2" t="str">
        <f>IF(H270="","",VLOOKUP(H270,[1]ISO辞書!A:B,2,FALSE))</f>
        <v/>
      </c>
      <c r="L270" s="2" t="str">
        <f>IF(I270="","",VLOOKUP(I270,[1]ISO辞書!A:B,2,FALSE))</f>
        <v/>
      </c>
      <c r="M270" s="3" t="str">
        <f t="shared" si="4"/>
        <v/>
      </c>
    </row>
    <row r="271" spans="1:13" hidden="1">
      <c r="A271" s="2" t="str">
        <f>IF(C271="","",VLOOKUP(C271,[1]ISO辞書!A:C,2,FALSE))</f>
        <v/>
      </c>
      <c r="B271" s="3" t="str">
        <f>IF(C271="","",VLOOKUP(C271,[1]ISO辞書!A:C,3,FALSE))</f>
        <v/>
      </c>
      <c r="J271" s="2" t="str">
        <f>IF(G271="","",VLOOKUP(G271,[1]ISO辞書!A:B,2,FALSE))</f>
        <v/>
      </c>
      <c r="K271" s="2" t="str">
        <f>IF(H271="","",VLOOKUP(H271,[1]ISO辞書!A:B,2,FALSE))</f>
        <v/>
      </c>
      <c r="L271" s="2" t="str">
        <f>IF(I271="","",VLOOKUP(I271,[1]ISO辞書!A:B,2,FALSE))</f>
        <v/>
      </c>
      <c r="M271" s="3" t="str">
        <f t="shared" si="4"/>
        <v/>
      </c>
    </row>
    <row r="272" spans="1:13" hidden="1">
      <c r="A272" s="2" t="str">
        <f>IF(C272="","",VLOOKUP(C272,[1]ISO辞書!A:C,2,FALSE))</f>
        <v/>
      </c>
      <c r="B272" s="3" t="str">
        <f>IF(C272="","",VLOOKUP(C272,[1]ISO辞書!A:C,3,FALSE))</f>
        <v/>
      </c>
      <c r="J272" s="2" t="str">
        <f>IF(G272="","",VLOOKUP(G272,[1]ISO辞書!A:B,2,FALSE))</f>
        <v/>
      </c>
      <c r="K272" s="2" t="str">
        <f>IF(H272="","",VLOOKUP(H272,[1]ISO辞書!A:B,2,FALSE))</f>
        <v/>
      </c>
      <c r="L272" s="2" t="str">
        <f>IF(I272="","",VLOOKUP(I272,[1]ISO辞書!A:B,2,FALSE))</f>
        <v/>
      </c>
      <c r="M272" s="3" t="str">
        <f t="shared" si="4"/>
        <v/>
      </c>
    </row>
    <row r="273" spans="1:13" hidden="1">
      <c r="A273" s="2" t="str">
        <f>IF(C273="","",VLOOKUP(C273,[1]ISO辞書!A:C,2,FALSE))</f>
        <v/>
      </c>
      <c r="B273" s="3" t="str">
        <f>IF(C273="","",VLOOKUP(C273,[1]ISO辞書!A:C,3,FALSE))</f>
        <v/>
      </c>
      <c r="J273" s="2" t="str">
        <f>IF(G273="","",VLOOKUP(G273,[1]ISO辞書!A:B,2,FALSE))</f>
        <v/>
      </c>
      <c r="K273" s="2" t="str">
        <f>IF(H273="","",VLOOKUP(H273,[1]ISO辞書!A:B,2,FALSE))</f>
        <v/>
      </c>
      <c r="L273" s="2" t="str">
        <f>IF(I273="","",VLOOKUP(I273,[1]ISO辞書!A:B,2,FALSE))</f>
        <v/>
      </c>
      <c r="M273" s="3" t="str">
        <f t="shared" si="4"/>
        <v/>
      </c>
    </row>
    <row r="274" spans="1:13" hidden="1">
      <c r="A274" s="2" t="str">
        <f>IF(C274="","",VLOOKUP(C274,[1]ISO辞書!A:C,2,FALSE))</f>
        <v/>
      </c>
      <c r="B274" s="3" t="str">
        <f>IF(C274="","",VLOOKUP(C274,[1]ISO辞書!A:C,3,FALSE))</f>
        <v/>
      </c>
      <c r="J274" s="2" t="str">
        <f>IF(G274="","",VLOOKUP(G274,[1]ISO辞書!A:B,2,FALSE))</f>
        <v/>
      </c>
      <c r="K274" s="2" t="str">
        <f>IF(H274="","",VLOOKUP(H274,[1]ISO辞書!A:B,2,FALSE))</f>
        <v/>
      </c>
      <c r="L274" s="2" t="str">
        <f>IF(I274="","",VLOOKUP(I274,[1]ISO辞書!A:B,2,FALSE))</f>
        <v/>
      </c>
      <c r="M274" s="3" t="str">
        <f t="shared" si="4"/>
        <v/>
      </c>
    </row>
    <row r="275" spans="1:13" hidden="1">
      <c r="A275" s="2" t="str">
        <f>IF(C275="","",VLOOKUP(C275,[1]ISO辞書!A:C,2,FALSE))</f>
        <v/>
      </c>
      <c r="B275" s="3" t="str">
        <f>IF(C275="","",VLOOKUP(C275,[1]ISO辞書!A:C,3,FALSE))</f>
        <v/>
      </c>
      <c r="J275" s="2" t="str">
        <f>IF(G275="","",VLOOKUP(G275,[1]ISO辞書!A:B,2,FALSE))</f>
        <v/>
      </c>
      <c r="K275" s="2" t="str">
        <f>IF(H275="","",VLOOKUP(H275,[1]ISO辞書!A:B,2,FALSE))</f>
        <v/>
      </c>
      <c r="L275" s="2" t="str">
        <f>IF(I275="","",VLOOKUP(I275,[1]ISO辞書!A:B,2,FALSE))</f>
        <v/>
      </c>
      <c r="M275" s="3" t="str">
        <f t="shared" si="4"/>
        <v/>
      </c>
    </row>
    <row r="276" spans="1:13" hidden="1">
      <c r="A276" s="2" t="str">
        <f>IF(C276="","",VLOOKUP(C276,[1]ISO辞書!A:C,2,FALSE))</f>
        <v/>
      </c>
      <c r="B276" s="3" t="str">
        <f>IF(C276="","",VLOOKUP(C276,[1]ISO辞書!A:C,3,FALSE))</f>
        <v/>
      </c>
      <c r="J276" s="2" t="str">
        <f>IF(G276="","",VLOOKUP(G276,[1]ISO辞書!A:B,2,FALSE))</f>
        <v/>
      </c>
      <c r="K276" s="2" t="str">
        <f>IF(H276="","",VLOOKUP(H276,[1]ISO辞書!A:B,2,FALSE))</f>
        <v/>
      </c>
      <c r="L276" s="2" t="str">
        <f>IF(I276="","",VLOOKUP(I276,[1]ISO辞書!A:B,2,FALSE))</f>
        <v/>
      </c>
      <c r="M276" s="3" t="str">
        <f t="shared" si="4"/>
        <v/>
      </c>
    </row>
    <row r="277" spans="1:13" hidden="1">
      <c r="A277" s="2" t="str">
        <f>IF(C277="","",VLOOKUP(C277,[1]ISO辞書!A:C,2,FALSE))</f>
        <v/>
      </c>
      <c r="B277" s="3" t="str">
        <f>IF(C277="","",VLOOKUP(C277,[1]ISO辞書!A:C,3,FALSE))</f>
        <v/>
      </c>
      <c r="J277" s="2" t="str">
        <f>IF(G277="","",VLOOKUP(G277,[1]ISO辞書!A:B,2,FALSE))</f>
        <v/>
      </c>
      <c r="K277" s="2" t="str">
        <f>IF(H277="","",VLOOKUP(H277,[1]ISO辞書!A:B,2,FALSE))</f>
        <v/>
      </c>
      <c r="L277" s="2" t="str">
        <f>IF(I277="","",VLOOKUP(I277,[1]ISO辞書!A:B,2,FALSE))</f>
        <v/>
      </c>
      <c r="M277" s="3" t="str">
        <f t="shared" si="4"/>
        <v/>
      </c>
    </row>
    <row r="278" spans="1:13" hidden="1">
      <c r="A278" s="2" t="str">
        <f>IF(C278="","",VLOOKUP(C278,[1]ISO辞書!A:C,2,FALSE))</f>
        <v/>
      </c>
      <c r="B278" s="3" t="str">
        <f>IF(C278="","",VLOOKUP(C278,[1]ISO辞書!A:C,3,FALSE))</f>
        <v/>
      </c>
      <c r="J278" s="2" t="str">
        <f>IF(G278="","",VLOOKUP(G278,[1]ISO辞書!A:B,2,FALSE))</f>
        <v/>
      </c>
      <c r="K278" s="2" t="str">
        <f>IF(H278="","",VLOOKUP(H278,[1]ISO辞書!A:B,2,FALSE))</f>
        <v/>
      </c>
      <c r="L278" s="2" t="str">
        <f>IF(I278="","",VLOOKUP(I278,[1]ISO辞書!A:B,2,FALSE))</f>
        <v/>
      </c>
      <c r="M278" s="3" t="str">
        <f t="shared" si="4"/>
        <v/>
      </c>
    </row>
    <row r="279" spans="1:13" hidden="1">
      <c r="A279" s="2" t="str">
        <f>IF(C279="","",VLOOKUP(C279,[1]ISO辞書!A:C,2,FALSE))</f>
        <v/>
      </c>
      <c r="B279" s="3" t="str">
        <f>IF(C279="","",VLOOKUP(C279,[1]ISO辞書!A:C,3,FALSE))</f>
        <v/>
      </c>
      <c r="J279" s="2" t="str">
        <f>IF(G279="","",VLOOKUP(G279,[1]ISO辞書!A:B,2,FALSE))</f>
        <v/>
      </c>
      <c r="K279" s="2" t="str">
        <f>IF(H279="","",VLOOKUP(H279,[1]ISO辞書!A:B,2,FALSE))</f>
        <v/>
      </c>
      <c r="L279" s="2" t="str">
        <f>IF(I279="","",VLOOKUP(I279,[1]ISO辞書!A:B,2,FALSE))</f>
        <v/>
      </c>
      <c r="M279" s="3" t="str">
        <f t="shared" si="4"/>
        <v/>
      </c>
    </row>
    <row r="280" spans="1:13" hidden="1">
      <c r="A280" s="2" t="str">
        <f>IF(C280="","",VLOOKUP(C280,[1]ISO辞書!A:C,2,FALSE))</f>
        <v/>
      </c>
      <c r="B280" s="3" t="str">
        <f>IF(C280="","",VLOOKUP(C280,[1]ISO辞書!A:C,3,FALSE))</f>
        <v/>
      </c>
      <c r="J280" s="2" t="str">
        <f>IF(G280="","",VLOOKUP(G280,[1]ISO辞書!A:B,2,FALSE))</f>
        <v/>
      </c>
      <c r="K280" s="2" t="str">
        <f>IF(H280="","",VLOOKUP(H280,[1]ISO辞書!A:B,2,FALSE))</f>
        <v/>
      </c>
      <c r="L280" s="2" t="str">
        <f>IF(I280="","",VLOOKUP(I280,[1]ISO辞書!A:B,2,FALSE))</f>
        <v/>
      </c>
      <c r="M280" s="3" t="str">
        <f t="shared" si="4"/>
        <v/>
      </c>
    </row>
    <row r="281" spans="1:13" hidden="1">
      <c r="A281" s="2" t="str">
        <f>IF(C281="","",VLOOKUP(C281,[1]ISO辞書!A:C,2,FALSE))</f>
        <v/>
      </c>
      <c r="B281" s="3" t="str">
        <f>IF(C281="","",VLOOKUP(C281,[1]ISO辞書!A:C,3,FALSE))</f>
        <v/>
      </c>
      <c r="J281" s="2" t="str">
        <f>IF(G281="","",VLOOKUP(G281,[1]ISO辞書!A:B,2,FALSE))</f>
        <v/>
      </c>
      <c r="K281" s="2" t="str">
        <f>IF(H281="","",VLOOKUP(H281,[1]ISO辞書!A:B,2,FALSE))</f>
        <v/>
      </c>
      <c r="L281" s="2" t="str">
        <f>IF(I281="","",VLOOKUP(I281,[1]ISO辞書!A:B,2,FALSE))</f>
        <v/>
      </c>
      <c r="M281" s="3" t="str">
        <f t="shared" si="4"/>
        <v/>
      </c>
    </row>
    <row r="282" spans="1:13" hidden="1">
      <c r="A282" s="2" t="str">
        <f>IF(C282="","",VLOOKUP(C282,[1]ISO辞書!A:C,2,FALSE))</f>
        <v/>
      </c>
      <c r="B282" s="3" t="str">
        <f>IF(C282="","",VLOOKUP(C282,[1]ISO辞書!A:C,3,FALSE))</f>
        <v/>
      </c>
      <c r="J282" s="2" t="str">
        <f>IF(G282="","",VLOOKUP(G282,[1]ISO辞書!A:B,2,FALSE))</f>
        <v/>
      </c>
      <c r="K282" s="2" t="str">
        <f>IF(H282="","",VLOOKUP(H282,[1]ISO辞書!A:B,2,FALSE))</f>
        <v/>
      </c>
      <c r="L282" s="2" t="str">
        <f>IF(I282="","",VLOOKUP(I282,[1]ISO辞書!A:B,2,FALSE))</f>
        <v/>
      </c>
      <c r="M282" s="3" t="str">
        <f t="shared" si="4"/>
        <v/>
      </c>
    </row>
    <row r="283" spans="1:13" hidden="1">
      <c r="A283" s="2" t="str">
        <f>IF(C283="","",VLOOKUP(C283,[1]ISO辞書!A:C,2,FALSE))</f>
        <v/>
      </c>
      <c r="B283" s="3" t="str">
        <f>IF(C283="","",VLOOKUP(C283,[1]ISO辞書!A:C,3,FALSE))</f>
        <v/>
      </c>
      <c r="J283" s="2" t="str">
        <f>IF(G283="","",VLOOKUP(G283,[1]ISO辞書!A:B,2,FALSE))</f>
        <v/>
      </c>
      <c r="K283" s="2" t="str">
        <f>IF(H283="","",VLOOKUP(H283,[1]ISO辞書!A:B,2,FALSE))</f>
        <v/>
      </c>
      <c r="L283" s="2" t="str">
        <f>IF(I283="","",VLOOKUP(I283,[1]ISO辞書!A:B,2,FALSE))</f>
        <v/>
      </c>
      <c r="M283" s="3" t="str">
        <f t="shared" si="4"/>
        <v/>
      </c>
    </row>
    <row r="284" spans="1:13" hidden="1">
      <c r="A284" s="2" t="str">
        <f>IF(C284="","",VLOOKUP(C284,[1]ISO辞書!A:C,2,FALSE))</f>
        <v/>
      </c>
      <c r="B284" s="3" t="str">
        <f>IF(C284="","",VLOOKUP(C284,[1]ISO辞書!A:C,3,FALSE))</f>
        <v/>
      </c>
      <c r="J284" s="2" t="str">
        <f>IF(G284="","",VLOOKUP(G284,[1]ISO辞書!A:B,2,FALSE))</f>
        <v/>
      </c>
      <c r="K284" s="2" t="str">
        <f>IF(H284="","",VLOOKUP(H284,[1]ISO辞書!A:B,2,FALSE))</f>
        <v/>
      </c>
      <c r="L284" s="2" t="str">
        <f>IF(I284="","",VLOOKUP(I284,[1]ISO辞書!A:B,2,FALSE))</f>
        <v/>
      </c>
      <c r="M284" s="3" t="str">
        <f t="shared" si="4"/>
        <v/>
      </c>
    </row>
    <row r="285" spans="1:13" hidden="1">
      <c r="A285" s="2" t="str">
        <f>IF(C285="","",VLOOKUP(C285,[1]ISO辞書!A:C,2,FALSE))</f>
        <v/>
      </c>
      <c r="B285" s="3" t="str">
        <f>IF(C285="","",VLOOKUP(C285,[1]ISO辞書!A:C,3,FALSE))</f>
        <v/>
      </c>
      <c r="J285" s="2" t="str">
        <f>IF(G285="","",VLOOKUP(G285,[1]ISO辞書!A:B,2,FALSE))</f>
        <v/>
      </c>
      <c r="K285" s="2" t="str">
        <f>IF(H285="","",VLOOKUP(H285,[1]ISO辞書!A:B,2,FALSE))</f>
        <v/>
      </c>
      <c r="L285" s="2" t="str">
        <f>IF(I285="","",VLOOKUP(I285,[1]ISO辞書!A:B,2,FALSE))</f>
        <v/>
      </c>
      <c r="M285" s="3" t="str">
        <f t="shared" si="4"/>
        <v/>
      </c>
    </row>
    <row r="286" spans="1:13" hidden="1">
      <c r="A286" s="2" t="str">
        <f>IF(C286="","",VLOOKUP(C286,[1]ISO辞書!A:C,2,FALSE))</f>
        <v/>
      </c>
      <c r="B286" s="3" t="str">
        <f>IF(C286="","",VLOOKUP(C286,[1]ISO辞書!A:C,3,FALSE))</f>
        <v/>
      </c>
      <c r="J286" s="2" t="str">
        <f>IF(G286="","",VLOOKUP(G286,[1]ISO辞書!A:B,2,FALSE))</f>
        <v/>
      </c>
      <c r="K286" s="2" t="str">
        <f>IF(H286="","",VLOOKUP(H286,[1]ISO辞書!A:B,2,FALSE))</f>
        <v/>
      </c>
      <c r="L286" s="2" t="str">
        <f>IF(I286="","",VLOOKUP(I286,[1]ISO辞書!A:B,2,FALSE))</f>
        <v/>
      </c>
      <c r="M286" s="3" t="str">
        <f t="shared" si="4"/>
        <v/>
      </c>
    </row>
    <row r="287" spans="1:13" hidden="1">
      <c r="A287" s="2" t="str">
        <f>IF(C287="","",VLOOKUP(C287,[1]ISO辞書!A:C,2,FALSE))</f>
        <v/>
      </c>
      <c r="B287" s="3" t="str">
        <f>IF(C287="","",VLOOKUP(C287,[1]ISO辞書!A:C,3,FALSE))</f>
        <v/>
      </c>
      <c r="J287" s="2" t="str">
        <f>IF(G287="","",VLOOKUP(G287,[1]ISO辞書!A:B,2,FALSE))</f>
        <v/>
      </c>
      <c r="K287" s="2" t="str">
        <f>IF(H287="","",VLOOKUP(H287,[1]ISO辞書!A:B,2,FALSE))</f>
        <v/>
      </c>
      <c r="L287" s="2" t="str">
        <f>IF(I287="","",VLOOKUP(I287,[1]ISO辞書!A:B,2,FALSE))</f>
        <v/>
      </c>
      <c r="M287" s="3" t="str">
        <f t="shared" si="4"/>
        <v/>
      </c>
    </row>
    <row r="288" spans="1:13" hidden="1">
      <c r="A288" s="2" t="str">
        <f>IF(C288="","",VLOOKUP(C288,[1]ISO辞書!A:C,2,FALSE))</f>
        <v/>
      </c>
      <c r="B288" s="3" t="str">
        <f>IF(C288="","",VLOOKUP(C288,[1]ISO辞書!A:C,3,FALSE))</f>
        <v/>
      </c>
      <c r="J288" s="2" t="str">
        <f>IF(G288="","",VLOOKUP(G288,[1]ISO辞書!A:B,2,FALSE))</f>
        <v/>
      </c>
      <c r="K288" s="2" t="str">
        <f>IF(H288="","",VLOOKUP(H288,[1]ISO辞書!A:B,2,FALSE))</f>
        <v/>
      </c>
      <c r="L288" s="2" t="str">
        <f>IF(I288="","",VLOOKUP(I288,[1]ISO辞書!A:B,2,FALSE))</f>
        <v/>
      </c>
      <c r="M288" s="3" t="str">
        <f t="shared" si="4"/>
        <v/>
      </c>
    </row>
    <row r="289" spans="1:13" hidden="1">
      <c r="A289" s="2" t="str">
        <f>IF(C289="","",VLOOKUP(C289,[1]ISO辞書!A:C,2,FALSE))</f>
        <v/>
      </c>
      <c r="B289" s="3" t="str">
        <f>IF(C289="","",VLOOKUP(C289,[1]ISO辞書!A:C,3,FALSE))</f>
        <v/>
      </c>
      <c r="J289" s="2" t="str">
        <f>IF(G289="","",VLOOKUP(G289,[1]ISO辞書!A:B,2,FALSE))</f>
        <v/>
      </c>
      <c r="K289" s="2" t="str">
        <f>IF(H289="","",VLOOKUP(H289,[1]ISO辞書!A:B,2,FALSE))</f>
        <v/>
      </c>
      <c r="L289" s="2" t="str">
        <f>IF(I289="","",VLOOKUP(I289,[1]ISO辞書!A:B,2,FALSE))</f>
        <v/>
      </c>
      <c r="M289" s="3" t="str">
        <f t="shared" si="4"/>
        <v/>
      </c>
    </row>
    <row r="290" spans="1:13" hidden="1">
      <c r="A290" s="2" t="str">
        <f>IF(C290="","",VLOOKUP(C290,[1]ISO辞書!A:C,2,FALSE))</f>
        <v/>
      </c>
      <c r="B290" s="3" t="str">
        <f>IF(C290="","",VLOOKUP(C290,[1]ISO辞書!A:C,3,FALSE))</f>
        <v/>
      </c>
      <c r="J290" s="2" t="str">
        <f>IF(G290="","",VLOOKUP(G290,[1]ISO辞書!A:B,2,FALSE))</f>
        <v/>
      </c>
      <c r="K290" s="2" t="str">
        <f>IF(H290="","",VLOOKUP(H290,[1]ISO辞書!A:B,2,FALSE))</f>
        <v/>
      </c>
      <c r="L290" s="2" t="str">
        <f>IF(I290="","",VLOOKUP(I290,[1]ISO辞書!A:B,2,FALSE))</f>
        <v/>
      </c>
      <c r="M290" s="3" t="str">
        <f t="shared" si="4"/>
        <v/>
      </c>
    </row>
    <row r="291" spans="1:13" hidden="1">
      <c r="A291" s="2" t="str">
        <f>IF(C291="","",VLOOKUP(C291,[1]ISO辞書!A:C,2,FALSE))</f>
        <v/>
      </c>
      <c r="B291" s="3" t="str">
        <f>IF(C291="","",VLOOKUP(C291,[1]ISO辞書!A:C,3,FALSE))</f>
        <v/>
      </c>
      <c r="J291" s="2" t="str">
        <f>IF(G291="","",VLOOKUP(G291,[1]ISO辞書!A:B,2,FALSE))</f>
        <v/>
      </c>
      <c r="K291" s="2" t="str">
        <f>IF(H291="","",VLOOKUP(H291,[1]ISO辞書!A:B,2,FALSE))</f>
        <v/>
      </c>
      <c r="L291" s="2" t="str">
        <f>IF(I291="","",VLOOKUP(I291,[1]ISO辞書!A:B,2,FALSE))</f>
        <v/>
      </c>
      <c r="M291" s="3" t="str">
        <f t="shared" si="4"/>
        <v/>
      </c>
    </row>
    <row r="292" spans="1:13" hidden="1">
      <c r="A292" s="2" t="str">
        <f>IF(C292="","",VLOOKUP(C292,[1]ISO辞書!A:C,2,FALSE))</f>
        <v/>
      </c>
      <c r="B292" s="3" t="str">
        <f>IF(C292="","",VLOOKUP(C292,[1]ISO辞書!A:C,3,FALSE))</f>
        <v/>
      </c>
      <c r="J292" s="2" t="str">
        <f>IF(G292="","",VLOOKUP(G292,[1]ISO辞書!A:B,2,FALSE))</f>
        <v/>
      </c>
      <c r="K292" s="2" t="str">
        <f>IF(H292="","",VLOOKUP(H292,[1]ISO辞書!A:B,2,FALSE))</f>
        <v/>
      </c>
      <c r="L292" s="2" t="str">
        <f>IF(I292="","",VLOOKUP(I292,[1]ISO辞書!A:B,2,FALSE))</f>
        <v/>
      </c>
      <c r="M292" s="3" t="str">
        <f t="shared" si="4"/>
        <v/>
      </c>
    </row>
    <row r="293" spans="1:13" hidden="1">
      <c r="A293" s="2" t="str">
        <f>IF(C293="","",VLOOKUP(C293,[1]ISO辞書!A:C,2,FALSE))</f>
        <v/>
      </c>
      <c r="B293" s="3" t="str">
        <f>IF(C293="","",VLOOKUP(C293,[1]ISO辞書!A:C,3,FALSE))</f>
        <v/>
      </c>
      <c r="J293" s="2" t="str">
        <f>IF(G293="","",VLOOKUP(G293,[1]ISO辞書!A:B,2,FALSE))</f>
        <v/>
      </c>
      <c r="K293" s="2" t="str">
        <f>IF(H293="","",VLOOKUP(H293,[1]ISO辞書!A:B,2,FALSE))</f>
        <v/>
      </c>
      <c r="L293" s="2" t="str">
        <f>IF(I293="","",VLOOKUP(I293,[1]ISO辞書!A:B,2,FALSE))</f>
        <v/>
      </c>
      <c r="M293" s="3" t="str">
        <f t="shared" si="4"/>
        <v/>
      </c>
    </row>
    <row r="294" spans="1:13" hidden="1">
      <c r="A294" s="2" t="str">
        <f>IF(C294="","",VLOOKUP(C294,[1]ISO辞書!A:C,2,FALSE))</f>
        <v/>
      </c>
      <c r="B294" s="3" t="str">
        <f>IF(C294="","",VLOOKUP(C294,[1]ISO辞書!A:C,3,FALSE))</f>
        <v/>
      </c>
      <c r="J294" s="2" t="str">
        <f>IF(G294="","",VLOOKUP(G294,[1]ISO辞書!A:B,2,FALSE))</f>
        <v/>
      </c>
      <c r="K294" s="2" t="str">
        <f>IF(H294="","",VLOOKUP(H294,[1]ISO辞書!A:B,2,FALSE))</f>
        <v/>
      </c>
      <c r="L294" s="2" t="str">
        <f>IF(I294="","",VLOOKUP(I294,[1]ISO辞書!A:B,2,FALSE))</f>
        <v/>
      </c>
      <c r="M294" s="3" t="str">
        <f t="shared" si="4"/>
        <v/>
      </c>
    </row>
    <row r="295" spans="1:13" hidden="1">
      <c r="A295" s="2" t="str">
        <f>IF(C295="","",VLOOKUP(C295,[1]ISO辞書!A:C,2,FALSE))</f>
        <v/>
      </c>
      <c r="B295" s="3" t="str">
        <f>IF(C295="","",VLOOKUP(C295,[1]ISO辞書!A:C,3,FALSE))</f>
        <v/>
      </c>
      <c r="J295" s="2" t="str">
        <f>IF(G295="","",VLOOKUP(G295,[1]ISO辞書!A:B,2,FALSE))</f>
        <v/>
      </c>
      <c r="K295" s="2" t="str">
        <f>IF(H295="","",VLOOKUP(H295,[1]ISO辞書!A:B,2,FALSE))</f>
        <v/>
      </c>
      <c r="L295" s="2" t="str">
        <f>IF(I295="","",VLOOKUP(I295,[1]ISO辞書!A:B,2,FALSE))</f>
        <v/>
      </c>
      <c r="M295" s="3" t="str">
        <f t="shared" si="4"/>
        <v/>
      </c>
    </row>
    <row r="296" spans="1:13" hidden="1">
      <c r="A296" s="2" t="str">
        <f>IF(C296="","",VLOOKUP(C296,[1]ISO辞書!A:C,2,FALSE))</f>
        <v/>
      </c>
      <c r="B296" s="3" t="str">
        <f>IF(C296="","",VLOOKUP(C296,[1]ISO辞書!A:C,3,FALSE))</f>
        <v/>
      </c>
      <c r="J296" s="2" t="str">
        <f>IF(G296="","",VLOOKUP(G296,[1]ISO辞書!A:B,2,FALSE))</f>
        <v/>
      </c>
      <c r="K296" s="2" t="str">
        <f>IF(H296="","",VLOOKUP(H296,[1]ISO辞書!A:B,2,FALSE))</f>
        <v/>
      </c>
      <c r="L296" s="2" t="str">
        <f>IF(I296="","",VLOOKUP(I296,[1]ISO辞書!A:B,2,FALSE))</f>
        <v/>
      </c>
      <c r="M296" s="3" t="str">
        <f t="shared" si="4"/>
        <v/>
      </c>
    </row>
    <row r="297" spans="1:13" hidden="1">
      <c r="A297" s="2" t="str">
        <f>IF(C297="","",VLOOKUP(C297,[1]ISO辞書!A:C,2,FALSE))</f>
        <v/>
      </c>
      <c r="B297" s="3" t="str">
        <f>IF(C297="","",VLOOKUP(C297,[1]ISO辞書!A:C,3,FALSE))</f>
        <v/>
      </c>
      <c r="J297" s="2" t="str">
        <f>IF(G297="","",VLOOKUP(G297,[1]ISO辞書!A:B,2,FALSE))</f>
        <v/>
      </c>
      <c r="K297" s="2" t="str">
        <f>IF(H297="","",VLOOKUP(H297,[1]ISO辞書!A:B,2,FALSE))</f>
        <v/>
      </c>
      <c r="L297" s="2" t="str">
        <f>IF(I297="","",VLOOKUP(I297,[1]ISO辞書!A:B,2,FALSE))</f>
        <v/>
      </c>
      <c r="M297" s="3" t="str">
        <f t="shared" si="4"/>
        <v/>
      </c>
    </row>
    <row r="298" spans="1:13" hidden="1">
      <c r="A298" s="2" t="str">
        <f>IF(C298="","",VLOOKUP(C298,[1]ISO辞書!A:C,2,FALSE))</f>
        <v/>
      </c>
      <c r="B298" s="3" t="str">
        <f>IF(C298="","",VLOOKUP(C298,[1]ISO辞書!A:C,3,FALSE))</f>
        <v/>
      </c>
      <c r="J298" s="2" t="str">
        <f>IF(G298="","",VLOOKUP(G298,[1]ISO辞書!A:B,2,FALSE))</f>
        <v/>
      </c>
      <c r="K298" s="2" t="str">
        <f>IF(H298="","",VLOOKUP(H298,[1]ISO辞書!A:B,2,FALSE))</f>
        <v/>
      </c>
      <c r="L298" s="2" t="str">
        <f>IF(I298="","",VLOOKUP(I298,[1]ISO辞書!A:B,2,FALSE))</f>
        <v/>
      </c>
      <c r="M298" s="3" t="str">
        <f t="shared" si="4"/>
        <v/>
      </c>
    </row>
    <row r="299" spans="1:13" hidden="1">
      <c r="A299" s="2" t="str">
        <f>IF(C299="","",VLOOKUP(C299,[1]ISO辞書!A:C,2,FALSE))</f>
        <v/>
      </c>
      <c r="B299" s="3" t="str">
        <f>IF(C299="","",VLOOKUP(C299,[1]ISO辞書!A:C,3,FALSE))</f>
        <v/>
      </c>
      <c r="J299" s="2" t="str">
        <f>IF(G299="","",VLOOKUP(G299,[1]ISO辞書!A:B,2,FALSE))</f>
        <v/>
      </c>
      <c r="K299" s="2" t="str">
        <f>IF(H299="","",VLOOKUP(H299,[1]ISO辞書!A:B,2,FALSE))</f>
        <v/>
      </c>
      <c r="L299" s="2" t="str">
        <f>IF(I299="","",VLOOKUP(I299,[1]ISO辞書!A:B,2,FALSE))</f>
        <v/>
      </c>
      <c r="M299" s="3" t="str">
        <f t="shared" si="4"/>
        <v/>
      </c>
    </row>
    <row r="300" spans="1:13" hidden="1">
      <c r="A300" s="2" t="str">
        <f>IF(C300="","",VLOOKUP(C300,[1]ISO辞書!A:C,2,FALSE))</f>
        <v/>
      </c>
      <c r="B300" s="3" t="str">
        <f>IF(C300="","",VLOOKUP(C300,[1]ISO辞書!A:C,3,FALSE))</f>
        <v/>
      </c>
      <c r="J300" s="2" t="str">
        <f>IF(G300="","",VLOOKUP(G300,[1]ISO辞書!A:B,2,FALSE))</f>
        <v/>
      </c>
      <c r="K300" s="2" t="str">
        <f>IF(H300="","",VLOOKUP(H300,[1]ISO辞書!A:B,2,FALSE))</f>
        <v/>
      </c>
      <c r="L300" s="2" t="str">
        <f>IF(I300="","",VLOOKUP(I300,[1]ISO辞書!A:B,2,FALSE))</f>
        <v/>
      </c>
      <c r="M300" s="3" t="str">
        <f t="shared" si="4"/>
        <v/>
      </c>
    </row>
    <row r="301" spans="1:13" hidden="1">
      <c r="A301" s="2" t="str">
        <f>IF(C301="","",VLOOKUP(C301,[1]ISO辞書!A:C,2,FALSE))</f>
        <v/>
      </c>
      <c r="B301" s="3" t="str">
        <f>IF(C301="","",VLOOKUP(C301,[1]ISO辞書!A:C,3,FALSE))</f>
        <v/>
      </c>
      <c r="J301" s="2" t="str">
        <f>IF(G301="","",VLOOKUP(G301,[1]ISO辞書!A:B,2,FALSE))</f>
        <v/>
      </c>
      <c r="K301" s="2" t="str">
        <f>IF(H301="","",VLOOKUP(H301,[1]ISO辞書!A:B,2,FALSE))</f>
        <v/>
      </c>
      <c r="L301" s="2" t="str">
        <f>IF(I301="","",VLOOKUP(I301,[1]ISO辞書!A:B,2,FALSE))</f>
        <v/>
      </c>
      <c r="M301" s="3" t="str">
        <f t="shared" si="4"/>
        <v/>
      </c>
    </row>
    <row r="302" spans="1:13" hidden="1">
      <c r="A302" s="2" t="str">
        <f>IF(C302="","",VLOOKUP(C302,[1]ISO辞書!A:C,2,FALSE))</f>
        <v/>
      </c>
      <c r="B302" s="3" t="str">
        <f>IF(C302="","",VLOOKUP(C302,[1]ISO辞書!A:C,3,FALSE))</f>
        <v/>
      </c>
      <c r="J302" s="2" t="str">
        <f>IF(G302="","",VLOOKUP(G302,[1]ISO辞書!A:B,2,FALSE))</f>
        <v/>
      </c>
      <c r="K302" s="2" t="str">
        <f>IF(H302="","",VLOOKUP(H302,[1]ISO辞書!A:B,2,FALSE))</f>
        <v/>
      </c>
      <c r="L302" s="2" t="str">
        <f>IF(I302="","",VLOOKUP(I302,[1]ISO辞書!A:B,2,FALSE))</f>
        <v/>
      </c>
      <c r="M302" s="3" t="str">
        <f t="shared" si="4"/>
        <v/>
      </c>
    </row>
    <row r="303" spans="1:13" hidden="1">
      <c r="A303" s="2" t="str">
        <f>IF(C303="","",VLOOKUP(C303,[1]ISO辞書!A:C,2,FALSE))</f>
        <v/>
      </c>
      <c r="B303" s="3" t="str">
        <f>IF(C303="","",VLOOKUP(C303,[1]ISO辞書!A:C,3,FALSE))</f>
        <v/>
      </c>
      <c r="J303" s="2" t="str">
        <f>IF(G303="","",VLOOKUP(G303,[1]ISO辞書!A:B,2,FALSE))</f>
        <v/>
      </c>
      <c r="K303" s="2" t="str">
        <f>IF(H303="","",VLOOKUP(H303,[1]ISO辞書!A:B,2,FALSE))</f>
        <v/>
      </c>
      <c r="L303" s="2" t="str">
        <f>IF(I303="","",VLOOKUP(I303,[1]ISO辞書!A:B,2,FALSE))</f>
        <v/>
      </c>
      <c r="M303" s="3" t="str">
        <f t="shared" si="4"/>
        <v/>
      </c>
    </row>
    <row r="304" spans="1:13" hidden="1">
      <c r="A304" s="2" t="str">
        <f>IF(C304="","",VLOOKUP(C304,[1]ISO辞書!A:C,2,FALSE))</f>
        <v/>
      </c>
      <c r="B304" s="3" t="str">
        <f>IF(C304="","",VLOOKUP(C304,[1]ISO辞書!A:C,3,FALSE))</f>
        <v/>
      </c>
      <c r="J304" s="2" t="str">
        <f>IF(G304="","",VLOOKUP(G304,[1]ISO辞書!A:B,2,FALSE))</f>
        <v/>
      </c>
      <c r="K304" s="2" t="str">
        <f>IF(H304="","",VLOOKUP(H304,[1]ISO辞書!A:B,2,FALSE))</f>
        <v/>
      </c>
      <c r="L304" s="2" t="str">
        <f>IF(I304="","",VLOOKUP(I304,[1]ISO辞書!A:B,2,FALSE))</f>
        <v/>
      </c>
      <c r="M304" s="3" t="str">
        <f t="shared" si="4"/>
        <v/>
      </c>
    </row>
    <row r="305" spans="1:13" hidden="1">
      <c r="A305" s="2" t="str">
        <f>IF(C305="","",VLOOKUP(C305,[1]ISO辞書!A:C,2,FALSE))</f>
        <v/>
      </c>
      <c r="B305" s="3" t="str">
        <f>IF(C305="","",VLOOKUP(C305,[1]ISO辞書!A:C,3,FALSE))</f>
        <v/>
      </c>
      <c r="J305" s="2" t="str">
        <f>IF(G305="","",VLOOKUP(G305,[1]ISO辞書!A:B,2,FALSE))</f>
        <v/>
      </c>
      <c r="K305" s="2" t="str">
        <f>IF(H305="","",VLOOKUP(H305,[1]ISO辞書!A:B,2,FALSE))</f>
        <v/>
      </c>
      <c r="L305" s="2" t="str">
        <f>IF(I305="","",VLOOKUP(I305,[1]ISO辞書!A:B,2,FALSE))</f>
        <v/>
      </c>
      <c r="M305" s="3" t="str">
        <f t="shared" si="4"/>
        <v/>
      </c>
    </row>
    <row r="306" spans="1:13" hidden="1">
      <c r="A306" s="2" t="str">
        <f>IF(C306="","",VLOOKUP(C306,[1]ISO辞書!A:C,2,FALSE))</f>
        <v/>
      </c>
      <c r="B306" s="3" t="str">
        <f>IF(C306="","",VLOOKUP(C306,[1]ISO辞書!A:C,3,FALSE))</f>
        <v/>
      </c>
      <c r="J306" s="2" t="str">
        <f>IF(G306="","",VLOOKUP(G306,[1]ISO辞書!A:B,2,FALSE))</f>
        <v/>
      </c>
      <c r="K306" s="2" t="str">
        <f>IF(H306="","",VLOOKUP(H306,[1]ISO辞書!A:B,2,FALSE))</f>
        <v/>
      </c>
      <c r="L306" s="2" t="str">
        <f>IF(I306="","",VLOOKUP(I306,[1]ISO辞書!A:B,2,FALSE))</f>
        <v/>
      </c>
      <c r="M306" s="3" t="str">
        <f t="shared" si="4"/>
        <v/>
      </c>
    </row>
    <row r="307" spans="1:13" hidden="1">
      <c r="A307" s="2" t="str">
        <f>IF(C307="","",VLOOKUP(C307,[1]ISO辞書!A:C,2,FALSE))</f>
        <v/>
      </c>
      <c r="B307" s="3" t="str">
        <f>IF(C307="","",VLOOKUP(C307,[1]ISO辞書!A:C,3,FALSE))</f>
        <v/>
      </c>
      <c r="J307" s="2" t="str">
        <f>IF(G307="","",VLOOKUP(G307,[1]ISO辞書!A:B,2,FALSE))</f>
        <v/>
      </c>
      <c r="K307" s="2" t="str">
        <f>IF(H307="","",VLOOKUP(H307,[1]ISO辞書!A:B,2,FALSE))</f>
        <v/>
      </c>
      <c r="L307" s="2" t="str">
        <f>IF(I307="","",VLOOKUP(I307,[1]ISO辞書!A:B,2,FALSE))</f>
        <v/>
      </c>
      <c r="M307" s="3" t="str">
        <f t="shared" si="4"/>
        <v/>
      </c>
    </row>
    <row r="308" spans="1:13" hidden="1">
      <c r="A308" s="2" t="str">
        <f>IF(C308="","",VLOOKUP(C308,[1]ISO辞書!A:C,2,FALSE))</f>
        <v/>
      </c>
      <c r="B308" s="3" t="str">
        <f>IF(C308="","",VLOOKUP(C308,[1]ISO辞書!A:C,3,FALSE))</f>
        <v/>
      </c>
      <c r="J308" s="2" t="str">
        <f>IF(G308="","",VLOOKUP(G308,[1]ISO辞書!A:B,2,FALSE))</f>
        <v/>
      </c>
      <c r="K308" s="2" t="str">
        <f>IF(H308="","",VLOOKUP(H308,[1]ISO辞書!A:B,2,FALSE))</f>
        <v/>
      </c>
      <c r="L308" s="2" t="str">
        <f>IF(I308="","",VLOOKUP(I308,[1]ISO辞書!A:B,2,FALSE))</f>
        <v/>
      </c>
      <c r="M308" s="3" t="str">
        <f t="shared" si="4"/>
        <v/>
      </c>
    </row>
    <row r="309" spans="1:13" hidden="1">
      <c r="A309" s="2" t="str">
        <f>IF(C309="","",VLOOKUP(C309,[1]ISO辞書!A:C,2,FALSE))</f>
        <v/>
      </c>
      <c r="B309" s="3" t="str">
        <f>IF(C309="","",VLOOKUP(C309,[1]ISO辞書!A:C,3,FALSE))</f>
        <v/>
      </c>
      <c r="J309" s="2" t="str">
        <f>IF(G309="","",VLOOKUP(G309,[1]ISO辞書!A:B,2,FALSE))</f>
        <v/>
      </c>
      <c r="K309" s="2" t="str">
        <f>IF(H309="","",VLOOKUP(H309,[1]ISO辞書!A:B,2,FALSE))</f>
        <v/>
      </c>
      <c r="L309" s="2" t="str">
        <f>IF(I309="","",VLOOKUP(I309,[1]ISO辞書!A:B,2,FALSE))</f>
        <v/>
      </c>
      <c r="M309" s="3" t="str">
        <f t="shared" si="4"/>
        <v/>
      </c>
    </row>
    <row r="310" spans="1:13" hidden="1">
      <c r="A310" s="2" t="str">
        <f>IF(C310="","",VLOOKUP(C310,[1]ISO辞書!A:C,2,FALSE))</f>
        <v/>
      </c>
      <c r="B310" s="3" t="str">
        <f>IF(C310="","",VLOOKUP(C310,[1]ISO辞書!A:C,3,FALSE))</f>
        <v/>
      </c>
      <c r="J310" s="2" t="str">
        <f>IF(G310="","",VLOOKUP(G310,[1]ISO辞書!A:B,2,FALSE))</f>
        <v/>
      </c>
      <c r="K310" s="2" t="str">
        <f>IF(H310="","",VLOOKUP(H310,[1]ISO辞書!A:B,2,FALSE))</f>
        <v/>
      </c>
      <c r="L310" s="2" t="str">
        <f>IF(I310="","",VLOOKUP(I310,[1]ISO辞書!A:B,2,FALSE))</f>
        <v/>
      </c>
      <c r="M310" s="3" t="str">
        <f t="shared" si="4"/>
        <v/>
      </c>
    </row>
    <row r="311" spans="1:13" hidden="1">
      <c r="A311" s="2" t="str">
        <f>IF(C311="","",VLOOKUP(C311,[1]ISO辞書!A:C,2,FALSE))</f>
        <v/>
      </c>
      <c r="B311" s="3" t="str">
        <f>IF(C311="","",VLOOKUP(C311,[1]ISO辞書!A:C,3,FALSE))</f>
        <v/>
      </c>
      <c r="J311" s="2" t="str">
        <f>IF(G311="","",VLOOKUP(G311,[1]ISO辞書!A:B,2,FALSE))</f>
        <v/>
      </c>
      <c r="K311" s="2" t="str">
        <f>IF(H311="","",VLOOKUP(H311,[1]ISO辞書!A:B,2,FALSE))</f>
        <v/>
      </c>
      <c r="L311" s="2" t="str">
        <f>IF(I311="","",VLOOKUP(I311,[1]ISO辞書!A:B,2,FALSE))</f>
        <v/>
      </c>
      <c r="M311" s="3" t="str">
        <f t="shared" si="4"/>
        <v/>
      </c>
    </row>
    <row r="312" spans="1:13" hidden="1">
      <c r="A312" s="2" t="str">
        <f>IF(C312="","",VLOOKUP(C312,[1]ISO辞書!A:C,2,FALSE))</f>
        <v/>
      </c>
      <c r="B312" s="3" t="str">
        <f>IF(C312="","",VLOOKUP(C312,[1]ISO辞書!A:C,3,FALSE))</f>
        <v/>
      </c>
      <c r="J312" s="2" t="str">
        <f>IF(G312="","",VLOOKUP(G312,[1]ISO辞書!A:B,2,FALSE))</f>
        <v/>
      </c>
      <c r="K312" s="2" t="str">
        <f>IF(H312="","",VLOOKUP(H312,[1]ISO辞書!A:B,2,FALSE))</f>
        <v/>
      </c>
      <c r="L312" s="2" t="str">
        <f>IF(I312="","",VLOOKUP(I312,[1]ISO辞書!A:B,2,FALSE))</f>
        <v/>
      </c>
      <c r="M312" s="3" t="str">
        <f t="shared" si="4"/>
        <v/>
      </c>
    </row>
    <row r="313" spans="1:13" hidden="1">
      <c r="A313" s="2" t="str">
        <f>IF(C313="","",VLOOKUP(C313,[1]ISO辞書!A:C,2,FALSE))</f>
        <v/>
      </c>
      <c r="B313" s="3" t="str">
        <f>IF(C313="","",VLOOKUP(C313,[1]ISO辞書!A:C,3,FALSE))</f>
        <v/>
      </c>
      <c r="J313" s="2" t="str">
        <f>IF(G313="","",VLOOKUP(G313,[1]ISO辞書!A:B,2,FALSE))</f>
        <v/>
      </c>
      <c r="K313" s="2" t="str">
        <f>IF(H313="","",VLOOKUP(H313,[1]ISO辞書!A:B,2,FALSE))</f>
        <v/>
      </c>
      <c r="L313" s="2" t="str">
        <f>IF(I313="","",VLOOKUP(I313,[1]ISO辞書!A:B,2,FALSE))</f>
        <v/>
      </c>
      <c r="M313" s="3" t="str">
        <f t="shared" si="4"/>
        <v/>
      </c>
    </row>
    <row r="314" spans="1:13" hidden="1">
      <c r="A314" s="2" t="str">
        <f>IF(C314="","",VLOOKUP(C314,[1]ISO辞書!A:C,2,FALSE))</f>
        <v/>
      </c>
      <c r="B314" s="3" t="str">
        <f>IF(C314="","",VLOOKUP(C314,[1]ISO辞書!A:C,3,FALSE))</f>
        <v/>
      </c>
      <c r="J314" s="2" t="str">
        <f>IF(G314="","",VLOOKUP(G314,[1]ISO辞書!A:B,2,FALSE))</f>
        <v/>
      </c>
      <c r="K314" s="2" t="str">
        <f>IF(H314="","",VLOOKUP(H314,[1]ISO辞書!A:B,2,FALSE))</f>
        <v/>
      </c>
      <c r="L314" s="2" t="str">
        <f>IF(I314="","",VLOOKUP(I314,[1]ISO辞書!A:B,2,FALSE))</f>
        <v/>
      </c>
      <c r="M314" s="3" t="str">
        <f t="shared" si="4"/>
        <v/>
      </c>
    </row>
    <row r="315" spans="1:13" hidden="1">
      <c r="A315" s="2" t="str">
        <f>IF(C315="","",VLOOKUP(C315,[1]ISO辞書!A:C,2,FALSE))</f>
        <v/>
      </c>
      <c r="B315" s="3" t="str">
        <f>IF(C315="","",VLOOKUP(C315,[1]ISO辞書!A:C,3,FALSE))</f>
        <v/>
      </c>
      <c r="J315" s="2" t="str">
        <f>IF(G315="","",VLOOKUP(G315,[1]ISO辞書!A:B,2,FALSE))</f>
        <v/>
      </c>
      <c r="K315" s="2" t="str">
        <f>IF(H315="","",VLOOKUP(H315,[1]ISO辞書!A:B,2,FALSE))</f>
        <v/>
      </c>
      <c r="L315" s="2" t="str">
        <f>IF(I315="","",VLOOKUP(I315,[1]ISO辞書!A:B,2,FALSE))</f>
        <v/>
      </c>
      <c r="M315" s="3" t="str">
        <f t="shared" si="4"/>
        <v/>
      </c>
    </row>
    <row r="316" spans="1:13" hidden="1">
      <c r="A316" s="2" t="str">
        <f>IF(C316="","",VLOOKUP(C316,[1]ISO辞書!A:C,2,FALSE))</f>
        <v/>
      </c>
      <c r="B316" s="3" t="str">
        <f>IF(C316="","",VLOOKUP(C316,[1]ISO辞書!A:C,3,FALSE))</f>
        <v/>
      </c>
      <c r="J316" s="2" t="str">
        <f>IF(G316="","",VLOOKUP(G316,[1]ISO辞書!A:B,2,FALSE))</f>
        <v/>
      </c>
      <c r="K316" s="2" t="str">
        <f>IF(H316="","",VLOOKUP(H316,[1]ISO辞書!A:B,2,FALSE))</f>
        <v/>
      </c>
      <c r="L316" s="2" t="str">
        <f>IF(I316="","",VLOOKUP(I316,[1]ISO辞書!A:B,2,FALSE))</f>
        <v/>
      </c>
      <c r="M316" s="3" t="str">
        <f t="shared" si="4"/>
        <v/>
      </c>
    </row>
    <row r="317" spans="1:13" hidden="1">
      <c r="A317" s="2" t="str">
        <f>IF(C317="","",VLOOKUP(C317,[1]ISO辞書!A:C,2,FALSE))</f>
        <v/>
      </c>
      <c r="B317" s="3" t="str">
        <f>IF(C317="","",VLOOKUP(C317,[1]ISO辞書!A:C,3,FALSE))</f>
        <v/>
      </c>
      <c r="J317" s="2" t="str">
        <f>IF(G317="","",VLOOKUP(G317,[1]ISO辞書!A:B,2,FALSE))</f>
        <v/>
      </c>
      <c r="K317" s="2" t="str">
        <f>IF(H317="","",VLOOKUP(H317,[1]ISO辞書!A:B,2,FALSE))</f>
        <v/>
      </c>
      <c r="L317" s="2" t="str">
        <f>IF(I317="","",VLOOKUP(I317,[1]ISO辞書!A:B,2,FALSE))</f>
        <v/>
      </c>
      <c r="M317" s="3" t="str">
        <f t="shared" si="4"/>
        <v/>
      </c>
    </row>
    <row r="318" spans="1:13" hidden="1">
      <c r="A318" s="2" t="str">
        <f>IF(C318="","",VLOOKUP(C318,[1]ISO辞書!A:C,2,FALSE))</f>
        <v/>
      </c>
      <c r="B318" s="3" t="str">
        <f>IF(C318="","",VLOOKUP(C318,[1]ISO辞書!A:C,3,FALSE))</f>
        <v/>
      </c>
      <c r="J318" s="2" t="str">
        <f>IF(G318="","",VLOOKUP(G318,[1]ISO辞書!A:B,2,FALSE))</f>
        <v/>
      </c>
      <c r="K318" s="2" t="str">
        <f>IF(H318="","",VLOOKUP(H318,[1]ISO辞書!A:B,2,FALSE))</f>
        <v/>
      </c>
      <c r="L318" s="2" t="str">
        <f>IF(I318="","",VLOOKUP(I318,[1]ISO辞書!A:B,2,FALSE))</f>
        <v/>
      </c>
      <c r="M318" s="3" t="str">
        <f t="shared" si="4"/>
        <v/>
      </c>
    </row>
    <row r="319" spans="1:13" hidden="1">
      <c r="A319" s="2" t="str">
        <f>IF(C319="","",VLOOKUP(C319,[1]ISO辞書!A:C,2,FALSE))</f>
        <v/>
      </c>
      <c r="B319" s="3" t="str">
        <f>IF(C319="","",VLOOKUP(C319,[1]ISO辞書!A:C,3,FALSE))</f>
        <v/>
      </c>
      <c r="J319" s="2" t="str">
        <f>IF(G319="","",VLOOKUP(G319,[1]ISO辞書!A:B,2,FALSE))</f>
        <v/>
      </c>
      <c r="K319" s="2" t="str">
        <f>IF(H319="","",VLOOKUP(H319,[1]ISO辞書!A:B,2,FALSE))</f>
        <v/>
      </c>
      <c r="L319" s="2" t="str">
        <f>IF(I319="","",VLOOKUP(I319,[1]ISO辞書!A:B,2,FALSE))</f>
        <v/>
      </c>
      <c r="M319" s="3" t="str">
        <f t="shared" si="4"/>
        <v/>
      </c>
    </row>
    <row r="320" spans="1:13" hidden="1">
      <c r="A320" s="2" t="str">
        <f>IF(C320="","",VLOOKUP(C320,[1]ISO辞書!A:C,2,FALSE))</f>
        <v/>
      </c>
      <c r="B320" s="3" t="str">
        <f>IF(C320="","",VLOOKUP(C320,[1]ISO辞書!A:C,3,FALSE))</f>
        <v/>
      </c>
      <c r="J320" s="2" t="str">
        <f>IF(G320="","",VLOOKUP(G320,[1]ISO辞書!A:B,2,FALSE))</f>
        <v/>
      </c>
      <c r="K320" s="2" t="str">
        <f>IF(H320="","",VLOOKUP(H320,[1]ISO辞書!A:B,2,FALSE))</f>
        <v/>
      </c>
      <c r="L320" s="2" t="str">
        <f>IF(I320="","",VLOOKUP(I320,[1]ISO辞書!A:B,2,FALSE))</f>
        <v/>
      </c>
      <c r="M320" s="3" t="str">
        <f t="shared" si="4"/>
        <v/>
      </c>
    </row>
    <row r="321" spans="1:13" hidden="1">
      <c r="A321" s="2" t="str">
        <f>IF(C321="","",VLOOKUP(C321,[1]ISO辞書!A:C,2,FALSE))</f>
        <v/>
      </c>
      <c r="B321" s="3" t="str">
        <f>IF(C321="","",VLOOKUP(C321,[1]ISO辞書!A:C,3,FALSE))</f>
        <v/>
      </c>
      <c r="J321" s="2" t="str">
        <f>IF(G321="","",VLOOKUP(G321,[1]ISO辞書!A:B,2,FALSE))</f>
        <v/>
      </c>
      <c r="K321" s="2" t="str">
        <f>IF(H321="","",VLOOKUP(H321,[1]ISO辞書!A:B,2,FALSE))</f>
        <v/>
      </c>
      <c r="L321" s="2" t="str">
        <f>IF(I321="","",VLOOKUP(I321,[1]ISO辞書!A:B,2,FALSE))</f>
        <v/>
      </c>
      <c r="M321" s="3" t="str">
        <f t="shared" si="4"/>
        <v/>
      </c>
    </row>
    <row r="322" spans="1:13" hidden="1">
      <c r="A322" s="2" t="str">
        <f>IF(C322="","",VLOOKUP(C322,[1]ISO辞書!A:C,2,FALSE))</f>
        <v/>
      </c>
      <c r="B322" s="3" t="str">
        <f>IF(C322="","",VLOOKUP(C322,[1]ISO辞書!A:C,3,FALSE))</f>
        <v/>
      </c>
      <c r="J322" s="2" t="str">
        <f>IF(G322="","",VLOOKUP(G322,[1]ISO辞書!A:B,2,FALSE))</f>
        <v/>
      </c>
      <c r="K322" s="2" t="str">
        <f>IF(H322="","",VLOOKUP(H322,[1]ISO辞書!A:B,2,FALSE))</f>
        <v/>
      </c>
      <c r="L322" s="2" t="str">
        <f>IF(I322="","",VLOOKUP(I322,[1]ISO辞書!A:B,2,FALSE))</f>
        <v/>
      </c>
      <c r="M322" s="3" t="str">
        <f t="shared" ref="M322:M385" si="5">_xlfn.TEXTJOIN(";",TRUE,J322:L322)</f>
        <v/>
      </c>
    </row>
    <row r="323" spans="1:13" hidden="1">
      <c r="A323" s="2" t="str">
        <f>IF(C323="","",VLOOKUP(C323,[1]ISO辞書!A:C,2,FALSE))</f>
        <v/>
      </c>
      <c r="B323" s="3" t="str">
        <f>IF(C323="","",VLOOKUP(C323,[1]ISO辞書!A:C,3,FALSE))</f>
        <v/>
      </c>
      <c r="J323" s="2" t="str">
        <f>IF(G323="","",VLOOKUP(G323,[1]ISO辞書!A:B,2,FALSE))</f>
        <v/>
      </c>
      <c r="K323" s="2" t="str">
        <f>IF(H323="","",VLOOKUP(H323,[1]ISO辞書!A:B,2,FALSE))</f>
        <v/>
      </c>
      <c r="L323" s="2" t="str">
        <f>IF(I323="","",VLOOKUP(I323,[1]ISO辞書!A:B,2,FALSE))</f>
        <v/>
      </c>
      <c r="M323" s="3" t="str">
        <f t="shared" si="5"/>
        <v/>
      </c>
    </row>
    <row r="324" spans="1:13" hidden="1">
      <c r="A324" s="2" t="str">
        <f>IF(C324="","",VLOOKUP(C324,[1]ISO辞書!A:C,2,FALSE))</f>
        <v/>
      </c>
      <c r="B324" s="3" t="str">
        <f>IF(C324="","",VLOOKUP(C324,[1]ISO辞書!A:C,3,FALSE))</f>
        <v/>
      </c>
      <c r="J324" s="2" t="str">
        <f>IF(G324="","",VLOOKUP(G324,[1]ISO辞書!A:B,2,FALSE))</f>
        <v/>
      </c>
      <c r="K324" s="2" t="str">
        <f>IF(H324="","",VLOOKUP(H324,[1]ISO辞書!A:B,2,FALSE))</f>
        <v/>
      </c>
      <c r="L324" s="2" t="str">
        <f>IF(I324="","",VLOOKUP(I324,[1]ISO辞書!A:B,2,FALSE))</f>
        <v/>
      </c>
      <c r="M324" s="3" t="str">
        <f t="shared" si="5"/>
        <v/>
      </c>
    </row>
    <row r="325" spans="1:13" hidden="1">
      <c r="A325" s="2" t="str">
        <f>IF(C325="","",VLOOKUP(C325,[1]ISO辞書!A:C,2,FALSE))</f>
        <v/>
      </c>
      <c r="B325" s="3" t="str">
        <f>IF(C325="","",VLOOKUP(C325,[1]ISO辞書!A:C,3,FALSE))</f>
        <v/>
      </c>
      <c r="J325" s="2" t="str">
        <f>IF(G325="","",VLOOKUP(G325,[1]ISO辞書!A:B,2,FALSE))</f>
        <v/>
      </c>
      <c r="K325" s="2" t="str">
        <f>IF(H325="","",VLOOKUP(H325,[1]ISO辞書!A:B,2,FALSE))</f>
        <v/>
      </c>
      <c r="L325" s="2" t="str">
        <f>IF(I325="","",VLOOKUP(I325,[1]ISO辞書!A:B,2,FALSE))</f>
        <v/>
      </c>
      <c r="M325" s="3" t="str">
        <f t="shared" si="5"/>
        <v/>
      </c>
    </row>
    <row r="326" spans="1:13" hidden="1">
      <c r="A326" s="2" t="str">
        <f>IF(C326="","",VLOOKUP(C326,[1]ISO辞書!A:C,2,FALSE))</f>
        <v/>
      </c>
      <c r="B326" s="3" t="str">
        <f>IF(C326="","",VLOOKUP(C326,[1]ISO辞書!A:C,3,FALSE))</f>
        <v/>
      </c>
      <c r="J326" s="2" t="str">
        <f>IF(G326="","",VLOOKUP(G326,[1]ISO辞書!A:B,2,FALSE))</f>
        <v/>
      </c>
      <c r="K326" s="2" t="str">
        <f>IF(H326="","",VLOOKUP(H326,[1]ISO辞書!A:B,2,FALSE))</f>
        <v/>
      </c>
      <c r="L326" s="2" t="str">
        <f>IF(I326="","",VLOOKUP(I326,[1]ISO辞書!A:B,2,FALSE))</f>
        <v/>
      </c>
      <c r="M326" s="3" t="str">
        <f t="shared" si="5"/>
        <v/>
      </c>
    </row>
    <row r="327" spans="1:13" hidden="1">
      <c r="A327" s="2" t="str">
        <f>IF(C327="","",VLOOKUP(C327,[1]ISO辞書!A:C,2,FALSE))</f>
        <v/>
      </c>
      <c r="B327" s="3" t="str">
        <f>IF(C327="","",VLOOKUP(C327,[1]ISO辞書!A:C,3,FALSE))</f>
        <v/>
      </c>
      <c r="J327" s="2" t="str">
        <f>IF(G327="","",VLOOKUP(G327,[1]ISO辞書!A:B,2,FALSE))</f>
        <v/>
      </c>
      <c r="K327" s="2" t="str">
        <f>IF(H327="","",VLOOKUP(H327,[1]ISO辞書!A:B,2,FALSE))</f>
        <v/>
      </c>
      <c r="L327" s="2" t="str">
        <f>IF(I327="","",VLOOKUP(I327,[1]ISO辞書!A:B,2,FALSE))</f>
        <v/>
      </c>
      <c r="M327" s="3" t="str">
        <f t="shared" si="5"/>
        <v/>
      </c>
    </row>
    <row r="328" spans="1:13" hidden="1">
      <c r="A328" s="2" t="str">
        <f>IF(C328="","",VLOOKUP(C328,[1]ISO辞書!A:C,2,FALSE))</f>
        <v/>
      </c>
      <c r="B328" s="3" t="str">
        <f>IF(C328="","",VLOOKUP(C328,[1]ISO辞書!A:C,3,FALSE))</f>
        <v/>
      </c>
      <c r="J328" s="2" t="str">
        <f>IF(G328="","",VLOOKUP(G328,[1]ISO辞書!A:B,2,FALSE))</f>
        <v/>
      </c>
      <c r="K328" s="2" t="str">
        <f>IF(H328="","",VLOOKUP(H328,[1]ISO辞書!A:B,2,FALSE))</f>
        <v/>
      </c>
      <c r="L328" s="2" t="str">
        <f>IF(I328="","",VLOOKUP(I328,[1]ISO辞書!A:B,2,FALSE))</f>
        <v/>
      </c>
      <c r="M328" s="3" t="str">
        <f t="shared" si="5"/>
        <v/>
      </c>
    </row>
    <row r="329" spans="1:13" hidden="1">
      <c r="A329" s="2" t="str">
        <f>IF(C329="","",VLOOKUP(C329,[1]ISO辞書!A:C,2,FALSE))</f>
        <v/>
      </c>
      <c r="B329" s="3" t="str">
        <f>IF(C329="","",VLOOKUP(C329,[1]ISO辞書!A:C,3,FALSE))</f>
        <v/>
      </c>
      <c r="J329" s="2" t="str">
        <f>IF(G329="","",VLOOKUP(G329,[1]ISO辞書!A:B,2,FALSE))</f>
        <v/>
      </c>
      <c r="K329" s="2" t="str">
        <f>IF(H329="","",VLOOKUP(H329,[1]ISO辞書!A:B,2,FALSE))</f>
        <v/>
      </c>
      <c r="L329" s="2" t="str">
        <f>IF(I329="","",VLOOKUP(I329,[1]ISO辞書!A:B,2,FALSE))</f>
        <v/>
      </c>
      <c r="M329" s="3" t="str">
        <f t="shared" si="5"/>
        <v/>
      </c>
    </row>
    <row r="330" spans="1:13" hidden="1">
      <c r="A330" s="2" t="str">
        <f>IF(C330="","",VLOOKUP(C330,[1]ISO辞書!A:C,2,FALSE))</f>
        <v/>
      </c>
      <c r="B330" s="3" t="str">
        <f>IF(C330="","",VLOOKUP(C330,[1]ISO辞書!A:C,3,FALSE))</f>
        <v/>
      </c>
      <c r="J330" s="2" t="str">
        <f>IF(G330="","",VLOOKUP(G330,[1]ISO辞書!A:B,2,FALSE))</f>
        <v/>
      </c>
      <c r="K330" s="2" t="str">
        <f>IF(H330="","",VLOOKUP(H330,[1]ISO辞書!A:B,2,FALSE))</f>
        <v/>
      </c>
      <c r="L330" s="2" t="str">
        <f>IF(I330="","",VLOOKUP(I330,[1]ISO辞書!A:B,2,FALSE))</f>
        <v/>
      </c>
      <c r="M330" s="3" t="str">
        <f t="shared" si="5"/>
        <v/>
      </c>
    </row>
    <row r="331" spans="1:13" hidden="1">
      <c r="A331" s="2" t="str">
        <f>IF(C331="","",VLOOKUP(C331,[1]ISO辞書!A:C,2,FALSE))</f>
        <v/>
      </c>
      <c r="B331" s="3" t="str">
        <f>IF(C331="","",VLOOKUP(C331,[1]ISO辞書!A:C,3,FALSE))</f>
        <v/>
      </c>
      <c r="J331" s="2" t="str">
        <f>IF(G331="","",VLOOKUP(G331,[1]ISO辞書!A:B,2,FALSE))</f>
        <v/>
      </c>
      <c r="K331" s="2" t="str">
        <f>IF(H331="","",VLOOKUP(H331,[1]ISO辞書!A:B,2,FALSE))</f>
        <v/>
      </c>
      <c r="L331" s="2" t="str">
        <f>IF(I331="","",VLOOKUP(I331,[1]ISO辞書!A:B,2,FALSE))</f>
        <v/>
      </c>
      <c r="M331" s="3" t="str">
        <f t="shared" si="5"/>
        <v/>
      </c>
    </row>
    <row r="332" spans="1:13" hidden="1">
      <c r="A332" s="2" t="str">
        <f>IF(C332="","",VLOOKUP(C332,[1]ISO辞書!A:C,2,FALSE))</f>
        <v/>
      </c>
      <c r="B332" s="3" t="str">
        <f>IF(C332="","",VLOOKUP(C332,[1]ISO辞書!A:C,3,FALSE))</f>
        <v/>
      </c>
      <c r="J332" s="2" t="str">
        <f>IF(G332="","",VLOOKUP(G332,[1]ISO辞書!A:B,2,FALSE))</f>
        <v/>
      </c>
      <c r="K332" s="2" t="str">
        <f>IF(H332="","",VLOOKUP(H332,[1]ISO辞書!A:B,2,FALSE))</f>
        <v/>
      </c>
      <c r="L332" s="2" t="str">
        <f>IF(I332="","",VLOOKUP(I332,[1]ISO辞書!A:B,2,FALSE))</f>
        <v/>
      </c>
      <c r="M332" s="3" t="str">
        <f t="shared" si="5"/>
        <v/>
      </c>
    </row>
    <row r="333" spans="1:13" hidden="1">
      <c r="A333" s="2" t="str">
        <f>IF(C333="","",VLOOKUP(C333,[1]ISO辞書!A:C,2,FALSE))</f>
        <v/>
      </c>
      <c r="B333" s="3" t="str">
        <f>IF(C333="","",VLOOKUP(C333,[1]ISO辞書!A:C,3,FALSE))</f>
        <v/>
      </c>
      <c r="J333" s="2" t="str">
        <f>IF(G333="","",VLOOKUP(G333,[1]ISO辞書!A:B,2,FALSE))</f>
        <v/>
      </c>
      <c r="K333" s="2" t="str">
        <f>IF(H333="","",VLOOKUP(H333,[1]ISO辞書!A:B,2,FALSE))</f>
        <v/>
      </c>
      <c r="L333" s="2" t="str">
        <f>IF(I333="","",VLOOKUP(I333,[1]ISO辞書!A:B,2,FALSE))</f>
        <v/>
      </c>
      <c r="M333" s="3" t="str">
        <f t="shared" si="5"/>
        <v/>
      </c>
    </row>
    <row r="334" spans="1:13" hidden="1">
      <c r="A334" s="2" t="str">
        <f>IF(C334="","",VLOOKUP(C334,[1]ISO辞書!A:C,2,FALSE))</f>
        <v/>
      </c>
      <c r="B334" s="3" t="str">
        <f>IF(C334="","",VLOOKUP(C334,[1]ISO辞書!A:C,3,FALSE))</f>
        <v/>
      </c>
      <c r="J334" s="2" t="str">
        <f>IF(G334="","",VLOOKUP(G334,[1]ISO辞書!A:B,2,FALSE))</f>
        <v/>
      </c>
      <c r="K334" s="2" t="str">
        <f>IF(H334="","",VLOOKUP(H334,[1]ISO辞書!A:B,2,FALSE))</f>
        <v/>
      </c>
      <c r="L334" s="2" t="str">
        <f>IF(I334="","",VLOOKUP(I334,[1]ISO辞書!A:B,2,FALSE))</f>
        <v/>
      </c>
      <c r="M334" s="3" t="str">
        <f t="shared" si="5"/>
        <v/>
      </c>
    </row>
    <row r="335" spans="1:13" hidden="1">
      <c r="A335" s="2" t="str">
        <f>IF(C335="","",VLOOKUP(C335,[1]ISO辞書!A:C,2,FALSE))</f>
        <v/>
      </c>
      <c r="B335" s="3" t="str">
        <f>IF(C335="","",VLOOKUP(C335,[1]ISO辞書!A:C,3,FALSE))</f>
        <v/>
      </c>
      <c r="J335" s="2" t="str">
        <f>IF(G335="","",VLOOKUP(G335,[1]ISO辞書!A:B,2,FALSE))</f>
        <v/>
      </c>
      <c r="K335" s="2" t="str">
        <f>IF(H335="","",VLOOKUP(H335,[1]ISO辞書!A:B,2,FALSE))</f>
        <v/>
      </c>
      <c r="L335" s="2" t="str">
        <f>IF(I335="","",VLOOKUP(I335,[1]ISO辞書!A:B,2,FALSE))</f>
        <v/>
      </c>
      <c r="M335" s="3" t="str">
        <f t="shared" si="5"/>
        <v/>
      </c>
    </row>
    <row r="336" spans="1:13" hidden="1">
      <c r="A336" s="2" t="str">
        <f>IF(C336="","",VLOOKUP(C336,[1]ISO辞書!A:C,2,FALSE))</f>
        <v/>
      </c>
      <c r="B336" s="3" t="str">
        <f>IF(C336="","",VLOOKUP(C336,[1]ISO辞書!A:C,3,FALSE))</f>
        <v/>
      </c>
      <c r="J336" s="2" t="str">
        <f>IF(G336="","",VLOOKUP(G336,[1]ISO辞書!A:B,2,FALSE))</f>
        <v/>
      </c>
      <c r="K336" s="2" t="str">
        <f>IF(H336="","",VLOOKUP(H336,[1]ISO辞書!A:B,2,FALSE))</f>
        <v/>
      </c>
      <c r="L336" s="2" t="str">
        <f>IF(I336="","",VLOOKUP(I336,[1]ISO辞書!A:B,2,FALSE))</f>
        <v/>
      </c>
      <c r="M336" s="3" t="str">
        <f t="shared" si="5"/>
        <v/>
      </c>
    </row>
    <row r="337" spans="1:13" hidden="1">
      <c r="A337" s="2" t="str">
        <f>IF(C337="","",VLOOKUP(C337,[1]ISO辞書!A:C,2,FALSE))</f>
        <v/>
      </c>
      <c r="B337" s="3" t="str">
        <f>IF(C337="","",VLOOKUP(C337,[1]ISO辞書!A:C,3,FALSE))</f>
        <v/>
      </c>
      <c r="J337" s="2" t="str">
        <f>IF(G337="","",VLOOKUP(G337,[1]ISO辞書!A:B,2,FALSE))</f>
        <v/>
      </c>
      <c r="K337" s="2" t="str">
        <f>IF(H337="","",VLOOKUP(H337,[1]ISO辞書!A:B,2,FALSE))</f>
        <v/>
      </c>
      <c r="L337" s="2" t="str">
        <f>IF(I337="","",VLOOKUP(I337,[1]ISO辞書!A:B,2,FALSE))</f>
        <v/>
      </c>
      <c r="M337" s="3" t="str">
        <f t="shared" si="5"/>
        <v/>
      </c>
    </row>
    <row r="338" spans="1:13" hidden="1">
      <c r="A338" s="2" t="str">
        <f>IF(C338="","",VLOOKUP(C338,[1]ISO辞書!A:C,2,FALSE))</f>
        <v/>
      </c>
      <c r="B338" s="3" t="str">
        <f>IF(C338="","",VLOOKUP(C338,[1]ISO辞書!A:C,3,FALSE))</f>
        <v/>
      </c>
      <c r="J338" s="2" t="str">
        <f>IF(G338="","",VLOOKUP(G338,[1]ISO辞書!A:B,2,FALSE))</f>
        <v/>
      </c>
      <c r="K338" s="2" t="str">
        <f>IF(H338="","",VLOOKUP(H338,[1]ISO辞書!A:B,2,FALSE))</f>
        <v/>
      </c>
      <c r="L338" s="2" t="str">
        <f>IF(I338="","",VLOOKUP(I338,[1]ISO辞書!A:B,2,FALSE))</f>
        <v/>
      </c>
      <c r="M338" s="3" t="str">
        <f t="shared" si="5"/>
        <v/>
      </c>
    </row>
    <row r="339" spans="1:13" hidden="1">
      <c r="A339" s="2" t="str">
        <f>IF(C339="","",VLOOKUP(C339,[1]ISO辞書!A:C,2,FALSE))</f>
        <v/>
      </c>
      <c r="B339" s="3" t="str">
        <f>IF(C339="","",VLOOKUP(C339,[1]ISO辞書!A:C,3,FALSE))</f>
        <v/>
      </c>
      <c r="J339" s="2" t="str">
        <f>IF(G339="","",VLOOKUP(G339,[1]ISO辞書!A:B,2,FALSE))</f>
        <v/>
      </c>
      <c r="K339" s="2" t="str">
        <f>IF(H339="","",VLOOKUP(H339,[1]ISO辞書!A:B,2,FALSE))</f>
        <v/>
      </c>
      <c r="L339" s="2" t="str">
        <f>IF(I339="","",VLOOKUP(I339,[1]ISO辞書!A:B,2,FALSE))</f>
        <v/>
      </c>
      <c r="M339" s="3" t="str">
        <f t="shared" si="5"/>
        <v/>
      </c>
    </row>
    <row r="340" spans="1:13" hidden="1">
      <c r="A340" s="2" t="str">
        <f>IF(C340="","",VLOOKUP(C340,[1]ISO辞書!A:C,2,FALSE))</f>
        <v/>
      </c>
      <c r="B340" s="3" t="str">
        <f>IF(C340="","",VLOOKUP(C340,[1]ISO辞書!A:C,3,FALSE))</f>
        <v/>
      </c>
      <c r="J340" s="2" t="str">
        <f>IF(G340="","",VLOOKUP(G340,[1]ISO辞書!A:B,2,FALSE))</f>
        <v/>
      </c>
      <c r="K340" s="2" t="str">
        <f>IF(H340="","",VLOOKUP(H340,[1]ISO辞書!A:B,2,FALSE))</f>
        <v/>
      </c>
      <c r="L340" s="2" t="str">
        <f>IF(I340="","",VLOOKUP(I340,[1]ISO辞書!A:B,2,FALSE))</f>
        <v/>
      </c>
      <c r="M340" s="3" t="str">
        <f t="shared" si="5"/>
        <v/>
      </c>
    </row>
    <row r="341" spans="1:13" hidden="1">
      <c r="A341" s="2" t="str">
        <f>IF(C341="","",VLOOKUP(C341,[1]ISO辞書!A:C,2,FALSE))</f>
        <v/>
      </c>
      <c r="B341" s="3" t="str">
        <f>IF(C341="","",VLOOKUP(C341,[1]ISO辞書!A:C,3,FALSE))</f>
        <v/>
      </c>
      <c r="J341" s="2" t="str">
        <f>IF(G341="","",VLOOKUP(G341,[1]ISO辞書!A:B,2,FALSE))</f>
        <v/>
      </c>
      <c r="K341" s="2" t="str">
        <f>IF(H341="","",VLOOKUP(H341,[1]ISO辞書!A:B,2,FALSE))</f>
        <v/>
      </c>
      <c r="L341" s="2" t="str">
        <f>IF(I341="","",VLOOKUP(I341,[1]ISO辞書!A:B,2,FALSE))</f>
        <v/>
      </c>
      <c r="M341" s="3" t="str">
        <f t="shared" si="5"/>
        <v/>
      </c>
    </row>
    <row r="342" spans="1:13" hidden="1">
      <c r="A342" s="2" t="str">
        <f>IF(C342="","",VLOOKUP(C342,[1]ISO辞書!A:C,2,FALSE))</f>
        <v/>
      </c>
      <c r="B342" s="3" t="str">
        <f>IF(C342="","",VLOOKUP(C342,[1]ISO辞書!A:C,3,FALSE))</f>
        <v/>
      </c>
      <c r="J342" s="2" t="str">
        <f>IF(G342="","",VLOOKUP(G342,[1]ISO辞書!A:B,2,FALSE))</f>
        <v/>
      </c>
      <c r="K342" s="2" t="str">
        <f>IF(H342="","",VLOOKUP(H342,[1]ISO辞書!A:B,2,FALSE))</f>
        <v/>
      </c>
      <c r="L342" s="2" t="str">
        <f>IF(I342="","",VLOOKUP(I342,[1]ISO辞書!A:B,2,FALSE))</f>
        <v/>
      </c>
      <c r="M342" s="3" t="str">
        <f t="shared" si="5"/>
        <v/>
      </c>
    </row>
    <row r="343" spans="1:13" hidden="1">
      <c r="A343" s="2" t="str">
        <f>IF(C343="","",VLOOKUP(C343,[1]ISO辞書!A:C,2,FALSE))</f>
        <v/>
      </c>
      <c r="B343" s="3" t="str">
        <f>IF(C343="","",VLOOKUP(C343,[1]ISO辞書!A:C,3,FALSE))</f>
        <v/>
      </c>
      <c r="J343" s="2" t="str">
        <f>IF(G343="","",VLOOKUP(G343,[1]ISO辞書!A:B,2,FALSE))</f>
        <v/>
      </c>
      <c r="K343" s="2" t="str">
        <f>IF(H343="","",VLOOKUP(H343,[1]ISO辞書!A:B,2,FALSE))</f>
        <v/>
      </c>
      <c r="L343" s="2" t="str">
        <f>IF(I343="","",VLOOKUP(I343,[1]ISO辞書!A:B,2,FALSE))</f>
        <v/>
      </c>
      <c r="M343" s="3" t="str">
        <f t="shared" si="5"/>
        <v/>
      </c>
    </row>
    <row r="344" spans="1:13" hidden="1">
      <c r="A344" s="2" t="str">
        <f>IF(C344="","",VLOOKUP(C344,[1]ISO辞書!A:C,2,FALSE))</f>
        <v/>
      </c>
      <c r="B344" s="3" t="str">
        <f>IF(C344="","",VLOOKUP(C344,[1]ISO辞書!A:C,3,FALSE))</f>
        <v/>
      </c>
      <c r="J344" s="2" t="str">
        <f>IF(G344="","",VLOOKUP(G344,[1]ISO辞書!A:B,2,FALSE))</f>
        <v/>
      </c>
      <c r="K344" s="2" t="str">
        <f>IF(H344="","",VLOOKUP(H344,[1]ISO辞書!A:B,2,FALSE))</f>
        <v/>
      </c>
      <c r="L344" s="2" t="str">
        <f>IF(I344="","",VLOOKUP(I344,[1]ISO辞書!A:B,2,FALSE))</f>
        <v/>
      </c>
      <c r="M344" s="3" t="str">
        <f t="shared" si="5"/>
        <v/>
      </c>
    </row>
    <row r="345" spans="1:13" hidden="1">
      <c r="A345" s="2" t="str">
        <f>IF(C345="","",VLOOKUP(C345,[1]ISO辞書!A:C,2,FALSE))</f>
        <v/>
      </c>
      <c r="B345" s="3" t="str">
        <f>IF(C345="","",VLOOKUP(C345,[1]ISO辞書!A:C,3,FALSE))</f>
        <v/>
      </c>
      <c r="J345" s="2" t="str">
        <f>IF(G345="","",VLOOKUP(G345,[1]ISO辞書!A:B,2,FALSE))</f>
        <v/>
      </c>
      <c r="K345" s="2" t="str">
        <f>IF(H345="","",VLOOKUP(H345,[1]ISO辞書!A:B,2,FALSE))</f>
        <v/>
      </c>
      <c r="L345" s="2" t="str">
        <f>IF(I345="","",VLOOKUP(I345,[1]ISO辞書!A:B,2,FALSE))</f>
        <v/>
      </c>
      <c r="M345" s="3" t="str">
        <f t="shared" si="5"/>
        <v/>
      </c>
    </row>
    <row r="346" spans="1:13" hidden="1">
      <c r="A346" s="2" t="str">
        <f>IF(C346="","",VLOOKUP(C346,[1]ISO辞書!A:C,2,FALSE))</f>
        <v/>
      </c>
      <c r="B346" s="3" t="str">
        <f>IF(C346="","",VLOOKUP(C346,[1]ISO辞書!A:C,3,FALSE))</f>
        <v/>
      </c>
      <c r="J346" s="2" t="str">
        <f>IF(G346="","",VLOOKUP(G346,[1]ISO辞書!A:B,2,FALSE))</f>
        <v/>
      </c>
      <c r="K346" s="2" t="str">
        <f>IF(H346="","",VLOOKUP(H346,[1]ISO辞書!A:B,2,FALSE))</f>
        <v/>
      </c>
      <c r="L346" s="2" t="str">
        <f>IF(I346="","",VLOOKUP(I346,[1]ISO辞書!A:B,2,FALSE))</f>
        <v/>
      </c>
      <c r="M346" s="3" t="str">
        <f t="shared" si="5"/>
        <v/>
      </c>
    </row>
    <row r="347" spans="1:13" hidden="1">
      <c r="A347" s="2" t="str">
        <f>IF(C347="","",VLOOKUP(C347,[1]ISO辞書!A:C,2,FALSE))</f>
        <v/>
      </c>
      <c r="B347" s="3" t="str">
        <f>IF(C347="","",VLOOKUP(C347,[1]ISO辞書!A:C,3,FALSE))</f>
        <v/>
      </c>
      <c r="J347" s="2" t="str">
        <f>IF(G347="","",VLOOKUP(G347,[1]ISO辞書!A:B,2,FALSE))</f>
        <v/>
      </c>
      <c r="K347" s="2" t="str">
        <f>IF(H347="","",VLOOKUP(H347,[1]ISO辞書!A:B,2,FALSE))</f>
        <v/>
      </c>
      <c r="L347" s="2" t="str">
        <f>IF(I347="","",VLOOKUP(I347,[1]ISO辞書!A:B,2,FALSE))</f>
        <v/>
      </c>
      <c r="M347" s="3" t="str">
        <f t="shared" si="5"/>
        <v/>
      </c>
    </row>
    <row r="348" spans="1:13" hidden="1">
      <c r="A348" s="2" t="str">
        <f>IF(C348="","",VLOOKUP(C348,[1]ISO辞書!A:C,2,FALSE))</f>
        <v/>
      </c>
      <c r="B348" s="3" t="str">
        <f>IF(C348="","",VLOOKUP(C348,[1]ISO辞書!A:C,3,FALSE))</f>
        <v/>
      </c>
      <c r="J348" s="2" t="str">
        <f>IF(G348="","",VLOOKUP(G348,[1]ISO辞書!A:B,2,FALSE))</f>
        <v/>
      </c>
      <c r="K348" s="2" t="str">
        <f>IF(H348="","",VLOOKUP(H348,[1]ISO辞書!A:B,2,FALSE))</f>
        <v/>
      </c>
      <c r="L348" s="2" t="str">
        <f>IF(I348="","",VLOOKUP(I348,[1]ISO辞書!A:B,2,FALSE))</f>
        <v/>
      </c>
      <c r="M348" s="3" t="str">
        <f t="shared" si="5"/>
        <v/>
      </c>
    </row>
    <row r="349" spans="1:13" hidden="1">
      <c r="A349" s="2" t="str">
        <f>IF(C349="","",VLOOKUP(C349,[1]ISO辞書!A:C,2,FALSE))</f>
        <v/>
      </c>
      <c r="B349" s="3" t="str">
        <f>IF(C349="","",VLOOKUP(C349,[1]ISO辞書!A:C,3,FALSE))</f>
        <v/>
      </c>
      <c r="J349" s="2" t="str">
        <f>IF(G349="","",VLOOKUP(G349,[1]ISO辞書!A:B,2,FALSE))</f>
        <v/>
      </c>
      <c r="K349" s="2" t="str">
        <f>IF(H349="","",VLOOKUP(H349,[1]ISO辞書!A:B,2,FALSE))</f>
        <v/>
      </c>
      <c r="L349" s="2" t="str">
        <f>IF(I349="","",VLOOKUP(I349,[1]ISO辞書!A:B,2,FALSE))</f>
        <v/>
      </c>
      <c r="M349" s="3" t="str">
        <f t="shared" si="5"/>
        <v/>
      </c>
    </row>
    <row r="350" spans="1:13" hidden="1">
      <c r="A350" s="2" t="str">
        <f>IF(C350="","",VLOOKUP(C350,[1]ISO辞書!A:C,2,FALSE))</f>
        <v/>
      </c>
      <c r="B350" s="3" t="str">
        <f>IF(C350="","",VLOOKUP(C350,[1]ISO辞書!A:C,3,FALSE))</f>
        <v/>
      </c>
      <c r="J350" s="2" t="str">
        <f>IF(G350="","",VLOOKUP(G350,[1]ISO辞書!A:B,2,FALSE))</f>
        <v/>
      </c>
      <c r="K350" s="2" t="str">
        <f>IF(H350="","",VLOOKUP(H350,[1]ISO辞書!A:B,2,FALSE))</f>
        <v/>
      </c>
      <c r="L350" s="2" t="str">
        <f>IF(I350="","",VLOOKUP(I350,[1]ISO辞書!A:B,2,FALSE))</f>
        <v/>
      </c>
      <c r="M350" s="3" t="str">
        <f t="shared" si="5"/>
        <v/>
      </c>
    </row>
    <row r="351" spans="1:13" hidden="1">
      <c r="A351" s="2" t="str">
        <f>IF(C351="","",VLOOKUP(C351,[1]ISO辞書!A:C,2,FALSE))</f>
        <v/>
      </c>
      <c r="B351" s="3" t="str">
        <f>IF(C351="","",VLOOKUP(C351,[1]ISO辞書!A:C,3,FALSE))</f>
        <v/>
      </c>
      <c r="J351" s="2" t="str">
        <f>IF(G351="","",VLOOKUP(G351,[1]ISO辞書!A:B,2,FALSE))</f>
        <v/>
      </c>
      <c r="K351" s="2" t="str">
        <f>IF(H351="","",VLOOKUP(H351,[1]ISO辞書!A:B,2,FALSE))</f>
        <v/>
      </c>
      <c r="L351" s="2" t="str">
        <f>IF(I351="","",VLOOKUP(I351,[1]ISO辞書!A:B,2,FALSE))</f>
        <v/>
      </c>
      <c r="M351" s="3" t="str">
        <f t="shared" si="5"/>
        <v/>
      </c>
    </row>
    <row r="352" spans="1:13" hidden="1">
      <c r="A352" s="2" t="str">
        <f>IF(C352="","",VLOOKUP(C352,[1]ISO辞書!A:C,2,FALSE))</f>
        <v/>
      </c>
      <c r="B352" s="3" t="str">
        <f>IF(C352="","",VLOOKUP(C352,[1]ISO辞書!A:C,3,FALSE))</f>
        <v/>
      </c>
      <c r="J352" s="2" t="str">
        <f>IF(G352="","",VLOOKUP(G352,[1]ISO辞書!A:B,2,FALSE))</f>
        <v/>
      </c>
      <c r="K352" s="2" t="str">
        <f>IF(H352="","",VLOOKUP(H352,[1]ISO辞書!A:B,2,FALSE))</f>
        <v/>
      </c>
      <c r="L352" s="2" t="str">
        <f>IF(I352="","",VLOOKUP(I352,[1]ISO辞書!A:B,2,FALSE))</f>
        <v/>
      </c>
      <c r="M352" s="3" t="str">
        <f t="shared" si="5"/>
        <v/>
      </c>
    </row>
    <row r="353" spans="1:13" hidden="1">
      <c r="A353" s="2" t="str">
        <f>IF(C353="","",VLOOKUP(C353,[1]ISO辞書!A:C,2,FALSE))</f>
        <v/>
      </c>
      <c r="B353" s="3" t="str">
        <f>IF(C353="","",VLOOKUP(C353,[1]ISO辞書!A:C,3,FALSE))</f>
        <v/>
      </c>
      <c r="J353" s="2" t="str">
        <f>IF(G353="","",VLOOKUP(G353,[1]ISO辞書!A:B,2,FALSE))</f>
        <v/>
      </c>
      <c r="K353" s="2" t="str">
        <f>IF(H353="","",VLOOKUP(H353,[1]ISO辞書!A:B,2,FALSE))</f>
        <v/>
      </c>
      <c r="L353" s="2" t="str">
        <f>IF(I353="","",VLOOKUP(I353,[1]ISO辞書!A:B,2,FALSE))</f>
        <v/>
      </c>
      <c r="M353" s="3" t="str">
        <f t="shared" si="5"/>
        <v/>
      </c>
    </row>
    <row r="354" spans="1:13" hidden="1">
      <c r="A354" s="2" t="str">
        <f>IF(C354="","",VLOOKUP(C354,[1]ISO辞書!A:C,2,FALSE))</f>
        <v/>
      </c>
      <c r="B354" s="3" t="str">
        <f>IF(C354="","",VLOOKUP(C354,[1]ISO辞書!A:C,3,FALSE))</f>
        <v/>
      </c>
      <c r="J354" s="2" t="str">
        <f>IF(G354="","",VLOOKUP(G354,[1]ISO辞書!A:B,2,FALSE))</f>
        <v/>
      </c>
      <c r="K354" s="2" t="str">
        <f>IF(H354="","",VLOOKUP(H354,[1]ISO辞書!A:B,2,FALSE))</f>
        <v/>
      </c>
      <c r="L354" s="2" t="str">
        <f>IF(I354="","",VLOOKUP(I354,[1]ISO辞書!A:B,2,FALSE))</f>
        <v/>
      </c>
      <c r="M354" s="3" t="str">
        <f t="shared" si="5"/>
        <v/>
      </c>
    </row>
    <row r="355" spans="1:13" hidden="1">
      <c r="A355" s="2" t="str">
        <f>IF(C355="","",VLOOKUP(C355,[1]ISO辞書!A:C,2,FALSE))</f>
        <v/>
      </c>
      <c r="B355" s="3" t="str">
        <f>IF(C355="","",VLOOKUP(C355,[1]ISO辞書!A:C,3,FALSE))</f>
        <v/>
      </c>
      <c r="J355" s="2" t="str">
        <f>IF(G355="","",VLOOKUP(G355,[1]ISO辞書!A:B,2,FALSE))</f>
        <v/>
      </c>
      <c r="K355" s="2" t="str">
        <f>IF(H355="","",VLOOKUP(H355,[1]ISO辞書!A:B,2,FALSE))</f>
        <v/>
      </c>
      <c r="L355" s="2" t="str">
        <f>IF(I355="","",VLOOKUP(I355,[1]ISO辞書!A:B,2,FALSE))</f>
        <v/>
      </c>
      <c r="M355" s="3" t="str">
        <f t="shared" si="5"/>
        <v/>
      </c>
    </row>
    <row r="356" spans="1:13" hidden="1">
      <c r="A356" s="2" t="str">
        <f>IF(C356="","",VLOOKUP(C356,[1]ISO辞書!A:C,2,FALSE))</f>
        <v/>
      </c>
      <c r="B356" s="3" t="str">
        <f>IF(C356="","",VLOOKUP(C356,[1]ISO辞書!A:C,3,FALSE))</f>
        <v/>
      </c>
      <c r="J356" s="2" t="str">
        <f>IF(G356="","",VLOOKUP(G356,[1]ISO辞書!A:B,2,FALSE))</f>
        <v/>
      </c>
      <c r="K356" s="2" t="str">
        <f>IF(H356="","",VLOOKUP(H356,[1]ISO辞書!A:B,2,FALSE))</f>
        <v/>
      </c>
      <c r="L356" s="2" t="str">
        <f>IF(I356="","",VLOOKUP(I356,[1]ISO辞書!A:B,2,FALSE))</f>
        <v/>
      </c>
      <c r="M356" s="3" t="str">
        <f t="shared" si="5"/>
        <v/>
      </c>
    </row>
    <row r="357" spans="1:13" hidden="1">
      <c r="A357" s="2" t="str">
        <f>IF(C357="","",VLOOKUP(C357,[1]ISO辞書!A:C,2,FALSE))</f>
        <v/>
      </c>
      <c r="B357" s="3" t="str">
        <f>IF(C357="","",VLOOKUP(C357,[1]ISO辞書!A:C,3,FALSE))</f>
        <v/>
      </c>
      <c r="J357" s="2" t="str">
        <f>IF(G357="","",VLOOKUP(G357,[1]ISO辞書!A:B,2,FALSE))</f>
        <v/>
      </c>
      <c r="K357" s="2" t="str">
        <f>IF(H357="","",VLOOKUP(H357,[1]ISO辞書!A:B,2,FALSE))</f>
        <v/>
      </c>
      <c r="L357" s="2" t="str">
        <f>IF(I357="","",VLOOKUP(I357,[1]ISO辞書!A:B,2,FALSE))</f>
        <v/>
      </c>
      <c r="M357" s="3" t="str">
        <f t="shared" si="5"/>
        <v/>
      </c>
    </row>
    <row r="358" spans="1:13" hidden="1">
      <c r="A358" s="2" t="str">
        <f>IF(C358="","",VLOOKUP(C358,[1]ISO辞書!A:C,2,FALSE))</f>
        <v/>
      </c>
      <c r="B358" s="3" t="str">
        <f>IF(C358="","",VLOOKUP(C358,[1]ISO辞書!A:C,3,FALSE))</f>
        <v/>
      </c>
      <c r="J358" s="2" t="str">
        <f>IF(G358="","",VLOOKUP(G358,[1]ISO辞書!A:B,2,FALSE))</f>
        <v/>
      </c>
      <c r="K358" s="2" t="str">
        <f>IF(H358="","",VLOOKUP(H358,[1]ISO辞書!A:B,2,FALSE))</f>
        <v/>
      </c>
      <c r="L358" s="2" t="str">
        <f>IF(I358="","",VLOOKUP(I358,[1]ISO辞書!A:B,2,FALSE))</f>
        <v/>
      </c>
      <c r="M358" s="3" t="str">
        <f t="shared" si="5"/>
        <v/>
      </c>
    </row>
    <row r="359" spans="1:13" hidden="1">
      <c r="A359" s="2" t="str">
        <f>IF(C359="","",VLOOKUP(C359,[1]ISO辞書!A:C,2,FALSE))</f>
        <v/>
      </c>
      <c r="B359" s="3" t="str">
        <f>IF(C359="","",VLOOKUP(C359,[1]ISO辞書!A:C,3,FALSE))</f>
        <v/>
      </c>
      <c r="J359" s="2" t="str">
        <f>IF(G359="","",VLOOKUP(G359,[1]ISO辞書!A:B,2,FALSE))</f>
        <v/>
      </c>
      <c r="K359" s="2" t="str">
        <f>IF(H359="","",VLOOKUP(H359,[1]ISO辞書!A:B,2,FALSE))</f>
        <v/>
      </c>
      <c r="L359" s="2" t="str">
        <f>IF(I359="","",VLOOKUP(I359,[1]ISO辞書!A:B,2,FALSE))</f>
        <v/>
      </c>
      <c r="M359" s="3" t="str">
        <f t="shared" si="5"/>
        <v/>
      </c>
    </row>
    <row r="360" spans="1:13" hidden="1">
      <c r="A360" s="2" t="str">
        <f>IF(C360="","",VLOOKUP(C360,[1]ISO辞書!A:C,2,FALSE))</f>
        <v/>
      </c>
      <c r="B360" s="3" t="str">
        <f>IF(C360="","",VLOOKUP(C360,[1]ISO辞書!A:C,3,FALSE))</f>
        <v/>
      </c>
      <c r="J360" s="2" t="str">
        <f>IF(G360="","",VLOOKUP(G360,[1]ISO辞書!A:B,2,FALSE))</f>
        <v/>
      </c>
      <c r="K360" s="2" t="str">
        <f>IF(H360="","",VLOOKUP(H360,[1]ISO辞書!A:B,2,FALSE))</f>
        <v/>
      </c>
      <c r="L360" s="2" t="str">
        <f>IF(I360="","",VLOOKUP(I360,[1]ISO辞書!A:B,2,FALSE))</f>
        <v/>
      </c>
      <c r="M360" s="3" t="str">
        <f t="shared" si="5"/>
        <v/>
      </c>
    </row>
    <row r="361" spans="1:13" hidden="1">
      <c r="A361" s="2" t="str">
        <f>IF(C361="","",VLOOKUP(C361,[1]ISO辞書!A:C,2,FALSE))</f>
        <v/>
      </c>
      <c r="B361" s="3" t="str">
        <f>IF(C361="","",VLOOKUP(C361,[1]ISO辞書!A:C,3,FALSE))</f>
        <v/>
      </c>
      <c r="J361" s="2" t="str">
        <f>IF(G361="","",VLOOKUP(G361,[1]ISO辞書!A:B,2,FALSE))</f>
        <v/>
      </c>
      <c r="K361" s="2" t="str">
        <f>IF(H361="","",VLOOKUP(H361,[1]ISO辞書!A:B,2,FALSE))</f>
        <v/>
      </c>
      <c r="L361" s="2" t="str">
        <f>IF(I361="","",VLOOKUP(I361,[1]ISO辞書!A:B,2,FALSE))</f>
        <v/>
      </c>
      <c r="M361" s="3" t="str">
        <f t="shared" si="5"/>
        <v/>
      </c>
    </row>
    <row r="362" spans="1:13" hidden="1">
      <c r="A362" s="2" t="str">
        <f>IF(C362="","",VLOOKUP(C362,[1]ISO辞書!A:C,2,FALSE))</f>
        <v/>
      </c>
      <c r="B362" s="3" t="str">
        <f>IF(C362="","",VLOOKUP(C362,[1]ISO辞書!A:C,3,FALSE))</f>
        <v/>
      </c>
      <c r="J362" s="2" t="str">
        <f>IF(G362="","",VLOOKUP(G362,[1]ISO辞書!A:B,2,FALSE))</f>
        <v/>
      </c>
      <c r="K362" s="2" t="str">
        <f>IF(H362="","",VLOOKUP(H362,[1]ISO辞書!A:B,2,FALSE))</f>
        <v/>
      </c>
      <c r="L362" s="2" t="str">
        <f>IF(I362="","",VLOOKUP(I362,[1]ISO辞書!A:B,2,FALSE))</f>
        <v/>
      </c>
      <c r="M362" s="3" t="str">
        <f t="shared" si="5"/>
        <v/>
      </c>
    </row>
    <row r="363" spans="1:13" hidden="1">
      <c r="A363" s="2" t="str">
        <f>IF(C363="","",VLOOKUP(C363,[1]ISO辞書!A:C,2,FALSE))</f>
        <v/>
      </c>
      <c r="B363" s="3" t="str">
        <f>IF(C363="","",VLOOKUP(C363,[1]ISO辞書!A:C,3,FALSE))</f>
        <v/>
      </c>
      <c r="J363" s="2" t="str">
        <f>IF(G363="","",VLOOKUP(G363,[1]ISO辞書!A:B,2,FALSE))</f>
        <v/>
      </c>
      <c r="K363" s="2" t="str">
        <f>IF(H363="","",VLOOKUP(H363,[1]ISO辞書!A:B,2,FALSE))</f>
        <v/>
      </c>
      <c r="L363" s="2" t="str">
        <f>IF(I363="","",VLOOKUP(I363,[1]ISO辞書!A:B,2,FALSE))</f>
        <v/>
      </c>
      <c r="M363" s="3" t="str">
        <f t="shared" si="5"/>
        <v/>
      </c>
    </row>
    <row r="364" spans="1:13" hidden="1">
      <c r="A364" s="2" t="str">
        <f>IF(C364="","",VLOOKUP(C364,[1]ISO辞書!A:C,2,FALSE))</f>
        <v/>
      </c>
      <c r="B364" s="3" t="str">
        <f>IF(C364="","",VLOOKUP(C364,[1]ISO辞書!A:C,3,FALSE))</f>
        <v/>
      </c>
      <c r="J364" s="2" t="str">
        <f>IF(G364="","",VLOOKUP(G364,[1]ISO辞書!A:B,2,FALSE))</f>
        <v/>
      </c>
      <c r="K364" s="2" t="str">
        <f>IF(H364="","",VLOOKUP(H364,[1]ISO辞書!A:B,2,FALSE))</f>
        <v/>
      </c>
      <c r="L364" s="2" t="str">
        <f>IF(I364="","",VLOOKUP(I364,[1]ISO辞書!A:B,2,FALSE))</f>
        <v/>
      </c>
      <c r="M364" s="3" t="str">
        <f t="shared" si="5"/>
        <v/>
      </c>
    </row>
    <row r="365" spans="1:13" hidden="1">
      <c r="A365" s="2" t="str">
        <f>IF(C365="","",VLOOKUP(C365,[1]ISO辞書!A:C,2,FALSE))</f>
        <v/>
      </c>
      <c r="B365" s="3" t="str">
        <f>IF(C365="","",VLOOKUP(C365,[1]ISO辞書!A:C,3,FALSE))</f>
        <v/>
      </c>
      <c r="J365" s="2" t="str">
        <f>IF(G365="","",VLOOKUP(G365,[1]ISO辞書!A:B,2,FALSE))</f>
        <v/>
      </c>
      <c r="K365" s="2" t="str">
        <f>IF(H365="","",VLOOKUP(H365,[1]ISO辞書!A:B,2,FALSE))</f>
        <v/>
      </c>
      <c r="L365" s="2" t="str">
        <f>IF(I365="","",VLOOKUP(I365,[1]ISO辞書!A:B,2,FALSE))</f>
        <v/>
      </c>
      <c r="M365" s="3" t="str">
        <f t="shared" si="5"/>
        <v/>
      </c>
    </row>
    <row r="366" spans="1:13" hidden="1">
      <c r="A366" s="2" t="str">
        <f>IF(C366="","",VLOOKUP(C366,[1]ISO辞書!A:C,2,FALSE))</f>
        <v/>
      </c>
      <c r="B366" s="3" t="str">
        <f>IF(C366="","",VLOOKUP(C366,[1]ISO辞書!A:C,3,FALSE))</f>
        <v/>
      </c>
      <c r="J366" s="2" t="str">
        <f>IF(G366="","",VLOOKUP(G366,[1]ISO辞書!A:B,2,FALSE))</f>
        <v/>
      </c>
      <c r="K366" s="2" t="str">
        <f>IF(H366="","",VLOOKUP(H366,[1]ISO辞書!A:B,2,FALSE))</f>
        <v/>
      </c>
      <c r="L366" s="2" t="str">
        <f>IF(I366="","",VLOOKUP(I366,[1]ISO辞書!A:B,2,FALSE))</f>
        <v/>
      </c>
      <c r="M366" s="3" t="str">
        <f t="shared" si="5"/>
        <v/>
      </c>
    </row>
    <row r="367" spans="1:13" hidden="1">
      <c r="A367" s="2" t="str">
        <f>IF(C367="","",VLOOKUP(C367,[1]ISO辞書!A:C,2,FALSE))</f>
        <v/>
      </c>
      <c r="B367" s="3" t="str">
        <f>IF(C367="","",VLOOKUP(C367,[1]ISO辞書!A:C,3,FALSE))</f>
        <v/>
      </c>
      <c r="J367" s="2" t="str">
        <f>IF(G367="","",VLOOKUP(G367,[1]ISO辞書!A:B,2,FALSE))</f>
        <v/>
      </c>
      <c r="K367" s="2" t="str">
        <f>IF(H367="","",VLOOKUP(H367,[1]ISO辞書!A:B,2,FALSE))</f>
        <v/>
      </c>
      <c r="L367" s="2" t="str">
        <f>IF(I367="","",VLOOKUP(I367,[1]ISO辞書!A:B,2,FALSE))</f>
        <v/>
      </c>
      <c r="M367" s="3" t="str">
        <f t="shared" si="5"/>
        <v/>
      </c>
    </row>
    <row r="368" spans="1:13" hidden="1">
      <c r="A368" s="2" t="str">
        <f>IF(C368="","",VLOOKUP(C368,[1]ISO辞書!A:C,2,FALSE))</f>
        <v/>
      </c>
      <c r="B368" s="3" t="str">
        <f>IF(C368="","",VLOOKUP(C368,[1]ISO辞書!A:C,3,FALSE))</f>
        <v/>
      </c>
      <c r="J368" s="2" t="str">
        <f>IF(G368="","",VLOOKUP(G368,[1]ISO辞書!A:B,2,FALSE))</f>
        <v/>
      </c>
      <c r="K368" s="2" t="str">
        <f>IF(H368="","",VLOOKUP(H368,[1]ISO辞書!A:B,2,FALSE))</f>
        <v/>
      </c>
      <c r="L368" s="2" t="str">
        <f>IF(I368="","",VLOOKUP(I368,[1]ISO辞書!A:B,2,FALSE))</f>
        <v/>
      </c>
      <c r="M368" s="3" t="str">
        <f t="shared" si="5"/>
        <v/>
      </c>
    </row>
    <row r="369" spans="1:13" hidden="1">
      <c r="A369" s="2" t="str">
        <f>IF(C369="","",VLOOKUP(C369,[1]ISO辞書!A:C,2,FALSE))</f>
        <v/>
      </c>
      <c r="B369" s="3" t="str">
        <f>IF(C369="","",VLOOKUP(C369,[1]ISO辞書!A:C,3,FALSE))</f>
        <v/>
      </c>
      <c r="J369" s="2" t="str">
        <f>IF(G369="","",VLOOKUP(G369,[1]ISO辞書!A:B,2,FALSE))</f>
        <v/>
      </c>
      <c r="K369" s="2" t="str">
        <f>IF(H369="","",VLOOKUP(H369,[1]ISO辞書!A:B,2,FALSE))</f>
        <v/>
      </c>
      <c r="L369" s="2" t="str">
        <f>IF(I369="","",VLOOKUP(I369,[1]ISO辞書!A:B,2,FALSE))</f>
        <v/>
      </c>
      <c r="M369" s="3" t="str">
        <f t="shared" si="5"/>
        <v/>
      </c>
    </row>
    <row r="370" spans="1:13" hidden="1">
      <c r="A370" s="2" t="str">
        <f>IF(C370="","",VLOOKUP(C370,[1]ISO辞書!A:C,2,FALSE))</f>
        <v/>
      </c>
      <c r="B370" s="3" t="str">
        <f>IF(C370="","",VLOOKUP(C370,[1]ISO辞書!A:C,3,FALSE))</f>
        <v/>
      </c>
      <c r="J370" s="2" t="str">
        <f>IF(G370="","",VLOOKUP(G370,[1]ISO辞書!A:B,2,FALSE))</f>
        <v/>
      </c>
      <c r="K370" s="2" t="str">
        <f>IF(H370="","",VLOOKUP(H370,[1]ISO辞書!A:B,2,FALSE))</f>
        <v/>
      </c>
      <c r="L370" s="2" t="str">
        <f>IF(I370="","",VLOOKUP(I370,[1]ISO辞書!A:B,2,FALSE))</f>
        <v/>
      </c>
      <c r="M370" s="3" t="str">
        <f t="shared" si="5"/>
        <v/>
      </c>
    </row>
    <row r="371" spans="1:13" hidden="1">
      <c r="A371" s="2" t="str">
        <f>IF(C371="","",VLOOKUP(C371,[1]ISO辞書!A:C,2,FALSE))</f>
        <v/>
      </c>
      <c r="B371" s="3" t="str">
        <f>IF(C371="","",VLOOKUP(C371,[1]ISO辞書!A:C,3,FALSE))</f>
        <v/>
      </c>
      <c r="J371" s="2" t="str">
        <f>IF(G371="","",VLOOKUP(G371,[1]ISO辞書!A:B,2,FALSE))</f>
        <v/>
      </c>
      <c r="K371" s="2" t="str">
        <f>IF(H371="","",VLOOKUP(H371,[1]ISO辞書!A:B,2,FALSE))</f>
        <v/>
      </c>
      <c r="L371" s="2" t="str">
        <f>IF(I371="","",VLOOKUP(I371,[1]ISO辞書!A:B,2,FALSE))</f>
        <v/>
      </c>
      <c r="M371" s="3" t="str">
        <f t="shared" si="5"/>
        <v/>
      </c>
    </row>
    <row r="372" spans="1:13" hidden="1">
      <c r="A372" s="2" t="str">
        <f>IF(C372="","",VLOOKUP(C372,[1]ISO辞書!A:C,2,FALSE))</f>
        <v/>
      </c>
      <c r="B372" s="3" t="str">
        <f>IF(C372="","",VLOOKUP(C372,[1]ISO辞書!A:C,3,FALSE))</f>
        <v/>
      </c>
      <c r="J372" s="2" t="str">
        <f>IF(G372="","",VLOOKUP(G372,[1]ISO辞書!A:B,2,FALSE))</f>
        <v/>
      </c>
      <c r="K372" s="2" t="str">
        <f>IF(H372="","",VLOOKUP(H372,[1]ISO辞書!A:B,2,FALSE))</f>
        <v/>
      </c>
      <c r="L372" s="2" t="str">
        <f>IF(I372="","",VLOOKUP(I372,[1]ISO辞書!A:B,2,FALSE))</f>
        <v/>
      </c>
      <c r="M372" s="3" t="str">
        <f t="shared" si="5"/>
        <v/>
      </c>
    </row>
    <row r="373" spans="1:13" hidden="1">
      <c r="J373" s="2" t="str">
        <f>IF(G373="","",VLOOKUP(G373,[1]ISO辞書!A:B,2,FALSE))</f>
        <v/>
      </c>
      <c r="K373" s="2" t="str">
        <f>IF(H373="","",VLOOKUP(H373,[1]ISO辞書!A:B,2,FALSE))</f>
        <v/>
      </c>
      <c r="L373" s="2" t="str">
        <f>IF(I373="","",VLOOKUP(I373,[1]ISO辞書!A:B,2,FALSE))</f>
        <v/>
      </c>
      <c r="M373" s="3" t="str">
        <f t="shared" si="5"/>
        <v/>
      </c>
    </row>
  </sheetData>
  <autoFilter ref="A1:S373" xr:uid="{11153815-6F7F-462F-8165-5CE05A98A928}">
    <filterColumn colId="3">
      <colorFilter dxfId="0"/>
    </filterColumn>
    <sortState xmlns:xlrd2="http://schemas.microsoft.com/office/spreadsheetml/2017/richdata2" ref="A2:S373">
      <sortCondition ref="P1:P77"/>
    </sortState>
  </autoFilter>
  <phoneticPr fontId="18"/>
  <hyperlinks>
    <hyperlink ref="R7" r:id="rId1" xr:uid="{B2B6E0E5-9387-475B-9F4B-ACDF1B43A472}"/>
    <hyperlink ref="R36" r:id="rId2" xr:uid="{986F3D43-7B5A-48C0-A47B-A7E7119BCBD9}"/>
    <hyperlink ref="R46" r:id="rId3" xr:uid="{CAB2C613-E685-436C-AA62-7678804484F9}"/>
    <hyperlink ref="R47" r:id="rId4" xr:uid="{B735F61B-7109-4112-8AD5-8A0DE0EE4130}"/>
    <hyperlink ref="R58" r:id="rId5" xr:uid="{26955398-EA42-49E0-8883-3400EA7BDFE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events-入力用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遠藤篤</dc:creator>
  <cp:lastModifiedBy>篤 遠藤</cp:lastModifiedBy>
  <dcterms:created xsi:type="dcterms:W3CDTF">2026-03-29T02:56:09Z</dcterms:created>
  <dcterms:modified xsi:type="dcterms:W3CDTF">2026-04-12T12:08:03Z</dcterms:modified>
</cp:coreProperties>
</file>