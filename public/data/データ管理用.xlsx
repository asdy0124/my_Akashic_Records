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world_map_project\world-map-news-app\public\data\"/>
    </mc:Choice>
  </mc:AlternateContent>
  <xr:revisionPtr revIDLastSave="0" documentId="13_ncr:1_{C960F63D-BDA5-47CF-AF80-FD9DF769F7B7}" xr6:coauthVersionLast="47" xr6:coauthVersionMax="47" xr10:uidLastSave="{00000000-0000-0000-0000-000000000000}"/>
  <bookViews>
    <workbookView xWindow="29430" yWindow="1785" windowWidth="20595" windowHeight="9540" xr2:uid="{17EB953A-2661-4049-9616-0D3098A3DA36}"/>
  </bookViews>
  <sheets>
    <sheet name="events-入力用" sheetId="1" r:id="rId1"/>
  </sheets>
  <externalReferences>
    <externalReference r:id="rId2"/>
  </externalReferences>
  <definedNames>
    <definedName name="_xlnm._FilterDatabase" localSheetId="0" hidden="1">'events-入力用'!$A$1:$V$370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1" i="1" l="1"/>
  <c r="N121" i="1"/>
  <c r="M121" i="1"/>
  <c r="O125" i="1"/>
  <c r="N125" i="1"/>
  <c r="M125" i="1"/>
  <c r="P125" i="1" s="1"/>
  <c r="O120" i="1"/>
  <c r="N120" i="1"/>
  <c r="M120" i="1"/>
  <c r="P120" i="1" s="1"/>
  <c r="O138" i="1"/>
  <c r="N138" i="1"/>
  <c r="M138" i="1"/>
  <c r="O124" i="1"/>
  <c r="N124" i="1"/>
  <c r="M124" i="1"/>
  <c r="O137" i="1"/>
  <c r="N137" i="1"/>
  <c r="M137" i="1"/>
  <c r="P137" i="1" s="1"/>
  <c r="O140" i="1"/>
  <c r="N140" i="1"/>
  <c r="M140" i="1"/>
  <c r="O119" i="1"/>
  <c r="N119" i="1"/>
  <c r="M119" i="1"/>
  <c r="O136" i="1"/>
  <c r="N136" i="1"/>
  <c r="M136" i="1"/>
  <c r="O135" i="1"/>
  <c r="N135" i="1"/>
  <c r="M135" i="1"/>
  <c r="P135" i="1" s="1"/>
  <c r="O134" i="1"/>
  <c r="N134" i="1"/>
  <c r="M134" i="1"/>
  <c r="O133" i="1"/>
  <c r="N133" i="1"/>
  <c r="M133" i="1"/>
  <c r="P133" i="1" s="1"/>
  <c r="O132" i="1"/>
  <c r="N132" i="1"/>
  <c r="M132" i="1"/>
  <c r="O131" i="1"/>
  <c r="N131" i="1"/>
  <c r="M131" i="1"/>
  <c r="P131" i="1" s="1"/>
  <c r="O130" i="1"/>
  <c r="N130" i="1"/>
  <c r="M130" i="1"/>
  <c r="O118" i="1"/>
  <c r="N118" i="1"/>
  <c r="M118" i="1"/>
  <c r="P118" i="1" s="1"/>
  <c r="O123" i="1"/>
  <c r="N123" i="1"/>
  <c r="M123" i="1"/>
  <c r="O117" i="1"/>
  <c r="N117" i="1"/>
  <c r="M117" i="1"/>
  <c r="P117" i="1" s="1"/>
  <c r="O129" i="1"/>
  <c r="N129" i="1"/>
  <c r="M129" i="1"/>
  <c r="P129" i="1" s="1"/>
  <c r="O128" i="1"/>
  <c r="N128" i="1"/>
  <c r="M128" i="1"/>
  <c r="P128" i="1" s="1"/>
  <c r="O127" i="1"/>
  <c r="N127" i="1"/>
  <c r="M127" i="1"/>
  <c r="O126" i="1"/>
  <c r="N126" i="1"/>
  <c r="M126" i="1"/>
  <c r="P126" i="1" s="1"/>
  <c r="O139" i="1"/>
  <c r="N139" i="1"/>
  <c r="M139" i="1"/>
  <c r="O122" i="1"/>
  <c r="N122" i="1"/>
  <c r="M122" i="1"/>
  <c r="P122" i="1" s="1"/>
  <c r="P119" i="1" l="1"/>
  <c r="P123" i="1"/>
  <c r="P136" i="1"/>
  <c r="P121" i="1"/>
  <c r="P127" i="1"/>
  <c r="P134" i="1"/>
  <c r="P139" i="1"/>
  <c r="P140" i="1"/>
  <c r="P130" i="1"/>
  <c r="P124" i="1"/>
  <c r="P132" i="1"/>
  <c r="P138" i="1"/>
  <c r="O370" i="1"/>
  <c r="N370" i="1"/>
  <c r="M370" i="1"/>
  <c r="O369" i="1"/>
  <c r="N369" i="1"/>
  <c r="M369" i="1"/>
  <c r="O368" i="1"/>
  <c r="N368" i="1"/>
  <c r="M368" i="1"/>
  <c r="O367" i="1"/>
  <c r="N367" i="1"/>
  <c r="M367" i="1"/>
  <c r="O366" i="1"/>
  <c r="N366" i="1"/>
  <c r="M366" i="1"/>
  <c r="O365" i="1"/>
  <c r="N365" i="1"/>
  <c r="M365" i="1"/>
  <c r="O364" i="1"/>
  <c r="N364" i="1"/>
  <c r="M364" i="1"/>
  <c r="O363" i="1"/>
  <c r="N363" i="1"/>
  <c r="M363" i="1"/>
  <c r="O362" i="1"/>
  <c r="N362" i="1"/>
  <c r="M362" i="1"/>
  <c r="O361" i="1"/>
  <c r="N361" i="1"/>
  <c r="M361" i="1"/>
  <c r="O360" i="1"/>
  <c r="N360" i="1"/>
  <c r="M360" i="1"/>
  <c r="O359" i="1"/>
  <c r="N359" i="1"/>
  <c r="M359" i="1"/>
  <c r="O358" i="1"/>
  <c r="N358" i="1"/>
  <c r="M358" i="1"/>
  <c r="O357" i="1"/>
  <c r="N357" i="1"/>
  <c r="M357" i="1"/>
  <c r="O356" i="1"/>
  <c r="N356" i="1"/>
  <c r="M356" i="1"/>
  <c r="O355" i="1"/>
  <c r="N355" i="1"/>
  <c r="M355" i="1"/>
  <c r="O354" i="1"/>
  <c r="N354" i="1"/>
  <c r="M354" i="1"/>
  <c r="O353" i="1"/>
  <c r="N353" i="1"/>
  <c r="M353" i="1"/>
  <c r="O352" i="1"/>
  <c r="N352" i="1"/>
  <c r="M352" i="1"/>
  <c r="O351" i="1"/>
  <c r="N351" i="1"/>
  <c r="M351" i="1"/>
  <c r="O350" i="1"/>
  <c r="N350" i="1"/>
  <c r="M350" i="1"/>
  <c r="O349" i="1"/>
  <c r="N349" i="1"/>
  <c r="M349"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336" i="1"/>
  <c r="N336" i="1"/>
  <c r="M336" i="1"/>
  <c r="O335" i="1"/>
  <c r="N335" i="1"/>
  <c r="M335" i="1"/>
  <c r="O334" i="1"/>
  <c r="N334" i="1"/>
  <c r="M334" i="1"/>
  <c r="O333" i="1"/>
  <c r="N333" i="1"/>
  <c r="M333" i="1"/>
  <c r="O332" i="1"/>
  <c r="N332" i="1"/>
  <c r="M332" i="1"/>
  <c r="O331" i="1"/>
  <c r="N331" i="1"/>
  <c r="M331" i="1"/>
  <c r="O330" i="1"/>
  <c r="N330" i="1"/>
  <c r="M330" i="1"/>
  <c r="O329" i="1"/>
  <c r="N329" i="1"/>
  <c r="M329" i="1"/>
  <c r="O328" i="1"/>
  <c r="N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66" i="1"/>
  <c r="N166" i="1"/>
  <c r="M166" i="1"/>
  <c r="O177" i="1"/>
  <c r="N177" i="1"/>
  <c r="M177" i="1"/>
  <c r="O176" i="1"/>
  <c r="N176" i="1"/>
  <c r="M176" i="1"/>
  <c r="O175" i="1"/>
  <c r="N175" i="1"/>
  <c r="M175" i="1"/>
  <c r="O174" i="1"/>
  <c r="N174" i="1"/>
  <c r="M174" i="1"/>
  <c r="O173" i="1"/>
  <c r="N173" i="1"/>
  <c r="M173" i="1"/>
  <c r="O172" i="1"/>
  <c r="N172" i="1"/>
  <c r="M172" i="1"/>
  <c r="O171" i="1"/>
  <c r="N171" i="1"/>
  <c r="M171" i="1"/>
  <c r="O170" i="1"/>
  <c r="N170" i="1"/>
  <c r="M170" i="1"/>
  <c r="O168" i="1"/>
  <c r="N168" i="1"/>
  <c r="M168" i="1"/>
  <c r="O169" i="1"/>
  <c r="N169" i="1"/>
  <c r="M169" i="1"/>
  <c r="O158" i="1"/>
  <c r="N158" i="1"/>
  <c r="M158" i="1"/>
  <c r="O151" i="1"/>
  <c r="N151" i="1"/>
  <c r="M151" i="1"/>
  <c r="O167" i="1"/>
  <c r="N167" i="1"/>
  <c r="M167" i="1"/>
  <c r="O165" i="1"/>
  <c r="N165" i="1"/>
  <c r="M165" i="1"/>
  <c r="O157" i="1"/>
  <c r="N157" i="1"/>
  <c r="M157" i="1"/>
  <c r="O164" i="1"/>
  <c r="N164" i="1"/>
  <c r="M164" i="1"/>
  <c r="O163" i="1"/>
  <c r="N163" i="1"/>
  <c r="M163" i="1"/>
  <c r="O156" i="1"/>
  <c r="N156" i="1"/>
  <c r="M156" i="1"/>
  <c r="O150" i="1"/>
  <c r="N150" i="1"/>
  <c r="M150" i="1"/>
  <c r="O155" i="1"/>
  <c r="N155" i="1"/>
  <c r="M155" i="1"/>
  <c r="O154" i="1"/>
  <c r="N154" i="1"/>
  <c r="M154" i="1"/>
  <c r="O153" i="1"/>
  <c r="N153" i="1"/>
  <c r="M153" i="1"/>
  <c r="O152" i="1"/>
  <c r="N152" i="1"/>
  <c r="M152" i="1"/>
  <c r="O162" i="1"/>
  <c r="N162" i="1"/>
  <c r="M162" i="1"/>
  <c r="O161" i="1"/>
  <c r="N161" i="1"/>
  <c r="M161" i="1"/>
  <c r="O160" i="1"/>
  <c r="N160" i="1"/>
  <c r="M160" i="1"/>
  <c r="O159" i="1"/>
  <c r="N159" i="1"/>
  <c r="M159" i="1"/>
  <c r="O144" i="1"/>
  <c r="N144" i="1"/>
  <c r="M144" i="1"/>
  <c r="O143" i="1"/>
  <c r="N143" i="1"/>
  <c r="M143" i="1"/>
  <c r="O142" i="1"/>
  <c r="N142" i="1"/>
  <c r="M142" i="1"/>
  <c r="O149" i="1"/>
  <c r="N149" i="1"/>
  <c r="M149" i="1"/>
  <c r="O148" i="1"/>
  <c r="N148" i="1"/>
  <c r="M148" i="1"/>
  <c r="O147" i="1"/>
  <c r="N147" i="1"/>
  <c r="M147" i="1"/>
  <c r="O146" i="1"/>
  <c r="N146" i="1"/>
  <c r="M146" i="1"/>
  <c r="O141" i="1"/>
  <c r="N141" i="1"/>
  <c r="M141" i="1"/>
  <c r="O145" i="1"/>
  <c r="N145" i="1"/>
  <c r="M145" i="1"/>
  <c r="O112" i="1"/>
  <c r="N112" i="1"/>
  <c r="M112" i="1"/>
  <c r="O111" i="1"/>
  <c r="N111" i="1"/>
  <c r="M111" i="1"/>
  <c r="O116" i="1"/>
  <c r="N116" i="1"/>
  <c r="M116" i="1"/>
  <c r="O115" i="1"/>
  <c r="N115" i="1"/>
  <c r="M115" i="1"/>
  <c r="O110" i="1"/>
  <c r="N110" i="1"/>
  <c r="M110" i="1"/>
  <c r="O109" i="1"/>
  <c r="N109" i="1"/>
  <c r="M109" i="1"/>
  <c r="O114" i="1"/>
  <c r="N114" i="1"/>
  <c r="M114" i="1"/>
  <c r="O108" i="1"/>
  <c r="N108" i="1"/>
  <c r="M108" i="1"/>
  <c r="O113" i="1"/>
  <c r="N113" i="1"/>
  <c r="M113" i="1"/>
  <c r="O103" i="1"/>
  <c r="N103" i="1"/>
  <c r="M103" i="1"/>
  <c r="O102" i="1"/>
  <c r="N102" i="1"/>
  <c r="M102" i="1"/>
  <c r="O101" i="1"/>
  <c r="N101" i="1"/>
  <c r="M101" i="1"/>
  <c r="O100" i="1"/>
  <c r="N100" i="1"/>
  <c r="M100" i="1"/>
  <c r="O99" i="1"/>
  <c r="N99" i="1"/>
  <c r="M99" i="1"/>
  <c r="O98" i="1"/>
  <c r="N98" i="1"/>
  <c r="M98" i="1"/>
  <c r="O97" i="1"/>
  <c r="N97" i="1"/>
  <c r="M97" i="1"/>
  <c r="O107" i="1"/>
  <c r="N107" i="1"/>
  <c r="M107" i="1"/>
  <c r="O106" i="1"/>
  <c r="N106" i="1"/>
  <c r="M106" i="1"/>
  <c r="O96" i="1"/>
  <c r="N96" i="1"/>
  <c r="M96" i="1"/>
  <c r="O105" i="1"/>
  <c r="N105" i="1"/>
  <c r="M105" i="1"/>
  <c r="O104" i="1"/>
  <c r="N104" i="1"/>
  <c r="M104" i="1"/>
  <c r="O87" i="1"/>
  <c r="N87" i="1"/>
  <c r="M87" i="1"/>
  <c r="O89" i="1"/>
  <c r="N89" i="1"/>
  <c r="M89" i="1"/>
  <c r="O88" i="1"/>
  <c r="N88" i="1"/>
  <c r="M88" i="1"/>
  <c r="O95" i="1"/>
  <c r="N95" i="1"/>
  <c r="M95" i="1"/>
  <c r="O94" i="1"/>
  <c r="N94" i="1"/>
  <c r="M94" i="1"/>
  <c r="O86" i="1"/>
  <c r="N86" i="1"/>
  <c r="M86" i="1"/>
  <c r="O79" i="1"/>
  <c r="N79" i="1"/>
  <c r="M79" i="1"/>
  <c r="O78" i="1"/>
  <c r="N78" i="1"/>
  <c r="M78" i="1"/>
  <c r="O61" i="1"/>
  <c r="N61" i="1"/>
  <c r="M61" i="1"/>
  <c r="O93" i="1"/>
  <c r="N93" i="1"/>
  <c r="M93" i="1"/>
  <c r="O69" i="1"/>
  <c r="N69" i="1"/>
  <c r="M69" i="1"/>
  <c r="O68" i="1"/>
  <c r="N68" i="1"/>
  <c r="M68" i="1"/>
  <c r="O77" i="1"/>
  <c r="N77" i="1"/>
  <c r="M77" i="1"/>
  <c r="O76" i="1"/>
  <c r="N76" i="1"/>
  <c r="M76" i="1"/>
  <c r="O85" i="1"/>
  <c r="N85" i="1"/>
  <c r="M85" i="1"/>
  <c r="O84" i="1"/>
  <c r="N84" i="1"/>
  <c r="M84" i="1"/>
  <c r="O83" i="1"/>
  <c r="N83" i="1"/>
  <c r="M83" i="1"/>
  <c r="O92" i="1"/>
  <c r="N92" i="1"/>
  <c r="M92" i="1"/>
  <c r="B369" i="1"/>
  <c r="A369" i="1"/>
  <c r="B368" i="1"/>
  <c r="A368" i="1"/>
  <c r="B367" i="1"/>
  <c r="A367" i="1"/>
  <c r="B366" i="1"/>
  <c r="A366" i="1"/>
  <c r="B365" i="1"/>
  <c r="A365" i="1"/>
  <c r="B364" i="1"/>
  <c r="A364" i="1"/>
  <c r="B363" i="1"/>
  <c r="A363" i="1"/>
  <c r="B362" i="1"/>
  <c r="A362" i="1"/>
  <c r="B361" i="1"/>
  <c r="A361" i="1"/>
  <c r="B360" i="1"/>
  <c r="A360" i="1"/>
  <c r="B359" i="1"/>
  <c r="A359" i="1"/>
  <c r="B358" i="1"/>
  <c r="A358" i="1"/>
  <c r="B357" i="1"/>
  <c r="A357" i="1"/>
  <c r="B356" i="1"/>
  <c r="A356" i="1"/>
  <c r="B355" i="1"/>
  <c r="A355" i="1"/>
  <c r="B354" i="1"/>
  <c r="A354" i="1"/>
  <c r="B353" i="1"/>
  <c r="A353" i="1"/>
  <c r="B352" i="1"/>
  <c r="A352" i="1"/>
  <c r="B351" i="1"/>
  <c r="A351" i="1"/>
  <c r="B350" i="1"/>
  <c r="A350" i="1"/>
  <c r="B349" i="1"/>
  <c r="A349" i="1"/>
  <c r="B348" i="1"/>
  <c r="A348" i="1"/>
  <c r="B347" i="1"/>
  <c r="A347" i="1"/>
  <c r="B346" i="1"/>
  <c r="A346" i="1"/>
  <c r="B345" i="1"/>
  <c r="A345" i="1"/>
  <c r="B344" i="1"/>
  <c r="A344" i="1"/>
  <c r="B343" i="1"/>
  <c r="A343" i="1"/>
  <c r="B342" i="1"/>
  <c r="A342" i="1"/>
  <c r="B341" i="1"/>
  <c r="A341" i="1"/>
  <c r="B340" i="1"/>
  <c r="A340" i="1"/>
  <c r="B339" i="1"/>
  <c r="A339" i="1"/>
  <c r="B338" i="1"/>
  <c r="A338" i="1"/>
  <c r="B337" i="1"/>
  <c r="A337" i="1"/>
  <c r="B336" i="1"/>
  <c r="A336" i="1"/>
  <c r="B335" i="1"/>
  <c r="A335" i="1"/>
  <c r="B334" i="1"/>
  <c r="A334" i="1"/>
  <c r="B333" i="1"/>
  <c r="A333" i="1"/>
  <c r="B332" i="1"/>
  <c r="A332" i="1"/>
  <c r="B331" i="1"/>
  <c r="A331" i="1"/>
  <c r="B330" i="1"/>
  <c r="A330" i="1"/>
  <c r="B329" i="1"/>
  <c r="A329" i="1"/>
  <c r="B328" i="1"/>
  <c r="A328" i="1"/>
  <c r="B327" i="1"/>
  <c r="A327" i="1"/>
  <c r="B326" i="1"/>
  <c r="A326" i="1"/>
  <c r="B325" i="1"/>
  <c r="A325" i="1"/>
  <c r="B324" i="1"/>
  <c r="A324" i="1"/>
  <c r="B323" i="1"/>
  <c r="A323" i="1"/>
  <c r="B322" i="1"/>
  <c r="A322" i="1"/>
  <c r="B321" i="1"/>
  <c r="A321" i="1"/>
  <c r="B320" i="1"/>
  <c r="A320" i="1"/>
  <c r="B319" i="1"/>
  <c r="A319" i="1"/>
  <c r="B318" i="1"/>
  <c r="A318" i="1"/>
  <c r="B317" i="1"/>
  <c r="A317" i="1"/>
  <c r="B316" i="1"/>
  <c r="A316" i="1"/>
  <c r="B315" i="1"/>
  <c r="A315" i="1"/>
  <c r="B314" i="1"/>
  <c r="A314" i="1"/>
  <c r="B313" i="1"/>
  <c r="A313" i="1"/>
  <c r="B312" i="1"/>
  <c r="A312" i="1"/>
  <c r="B311" i="1"/>
  <c r="A311" i="1"/>
  <c r="B310" i="1"/>
  <c r="A310" i="1"/>
  <c r="B309" i="1"/>
  <c r="A309" i="1"/>
  <c r="B308" i="1"/>
  <c r="A308" i="1"/>
  <c r="B307" i="1"/>
  <c r="A307" i="1"/>
  <c r="B306" i="1"/>
  <c r="A306" i="1"/>
  <c r="B305" i="1"/>
  <c r="A305" i="1"/>
  <c r="B304" i="1"/>
  <c r="A304" i="1"/>
  <c r="B303" i="1"/>
  <c r="A303" i="1"/>
  <c r="B302" i="1"/>
  <c r="A302" i="1"/>
  <c r="B301" i="1"/>
  <c r="A301" i="1"/>
  <c r="B300" i="1"/>
  <c r="A300" i="1"/>
  <c r="B299" i="1"/>
  <c r="A299" i="1"/>
  <c r="B298" i="1"/>
  <c r="A298" i="1"/>
  <c r="B297" i="1"/>
  <c r="A297" i="1"/>
  <c r="B296" i="1"/>
  <c r="A296" i="1"/>
  <c r="B295" i="1"/>
  <c r="A295" i="1"/>
  <c r="B294" i="1"/>
  <c r="A294" i="1"/>
  <c r="B293" i="1"/>
  <c r="A293" i="1"/>
  <c r="B292" i="1"/>
  <c r="A292" i="1"/>
  <c r="B291" i="1"/>
  <c r="A291" i="1"/>
  <c r="B290" i="1"/>
  <c r="A290" i="1"/>
  <c r="B289" i="1"/>
  <c r="A289" i="1"/>
  <c r="B288" i="1"/>
  <c r="A288" i="1"/>
  <c r="B287" i="1"/>
  <c r="A287" i="1"/>
  <c r="B286" i="1"/>
  <c r="A286" i="1"/>
  <c r="B285" i="1"/>
  <c r="A285" i="1"/>
  <c r="B284" i="1"/>
  <c r="A284" i="1"/>
  <c r="B283" i="1"/>
  <c r="A283" i="1"/>
  <c r="B282" i="1"/>
  <c r="A282" i="1"/>
  <c r="B281" i="1"/>
  <c r="A281" i="1"/>
  <c r="B280" i="1"/>
  <c r="A280" i="1"/>
  <c r="B279" i="1"/>
  <c r="A279" i="1"/>
  <c r="B278" i="1"/>
  <c r="A278" i="1"/>
  <c r="B277" i="1"/>
  <c r="A277" i="1"/>
  <c r="B276" i="1"/>
  <c r="A276" i="1"/>
  <c r="B275" i="1"/>
  <c r="A275" i="1"/>
  <c r="B274" i="1"/>
  <c r="A274" i="1"/>
  <c r="B273" i="1"/>
  <c r="A273" i="1"/>
  <c r="B272" i="1"/>
  <c r="A272" i="1"/>
  <c r="B271" i="1"/>
  <c r="A271" i="1"/>
  <c r="B270" i="1"/>
  <c r="A270" i="1"/>
  <c r="B269" i="1"/>
  <c r="A269" i="1"/>
  <c r="B268" i="1"/>
  <c r="A268" i="1"/>
  <c r="B267" i="1"/>
  <c r="A267" i="1"/>
  <c r="B266" i="1"/>
  <c r="A266" i="1"/>
  <c r="B265" i="1"/>
  <c r="A265" i="1"/>
  <c r="B264" i="1"/>
  <c r="A264" i="1"/>
  <c r="B263" i="1"/>
  <c r="A263" i="1"/>
  <c r="B262" i="1"/>
  <c r="A262" i="1"/>
  <c r="B261" i="1"/>
  <c r="A261" i="1"/>
  <c r="B260" i="1"/>
  <c r="A260" i="1"/>
  <c r="B259" i="1"/>
  <c r="A259" i="1"/>
  <c r="B258" i="1"/>
  <c r="A258" i="1"/>
  <c r="B257" i="1"/>
  <c r="A257" i="1"/>
  <c r="B256" i="1"/>
  <c r="A256" i="1"/>
  <c r="B255" i="1"/>
  <c r="A255" i="1"/>
  <c r="B254" i="1"/>
  <c r="A254" i="1"/>
  <c r="B253" i="1"/>
  <c r="A253" i="1"/>
  <c r="B252" i="1"/>
  <c r="A252" i="1"/>
  <c r="B251" i="1"/>
  <c r="A251" i="1"/>
  <c r="B250" i="1"/>
  <c r="A250" i="1"/>
  <c r="B249" i="1"/>
  <c r="A249" i="1"/>
  <c r="B248" i="1"/>
  <c r="A248" i="1"/>
  <c r="B247" i="1"/>
  <c r="A247" i="1"/>
  <c r="B246" i="1"/>
  <c r="A246" i="1"/>
  <c r="B245" i="1"/>
  <c r="A245" i="1"/>
  <c r="B244" i="1"/>
  <c r="A244" i="1"/>
  <c r="B243" i="1"/>
  <c r="A243" i="1"/>
  <c r="B242" i="1"/>
  <c r="A242" i="1"/>
  <c r="B241" i="1"/>
  <c r="A241" i="1"/>
  <c r="B240" i="1"/>
  <c r="A240" i="1"/>
  <c r="B239" i="1"/>
  <c r="A239" i="1"/>
  <c r="B238" i="1"/>
  <c r="A238" i="1"/>
  <c r="B237" i="1"/>
  <c r="A237" i="1"/>
  <c r="B236" i="1"/>
  <c r="A236" i="1"/>
  <c r="B235" i="1"/>
  <c r="A235" i="1"/>
  <c r="B234" i="1"/>
  <c r="A234" i="1"/>
  <c r="B233" i="1"/>
  <c r="A233" i="1"/>
  <c r="B232" i="1"/>
  <c r="A232" i="1"/>
  <c r="B231" i="1"/>
  <c r="A231" i="1"/>
  <c r="B230" i="1"/>
  <c r="A230" i="1"/>
  <c r="B229" i="1"/>
  <c r="A229" i="1"/>
  <c r="B228" i="1"/>
  <c r="A228" i="1"/>
  <c r="B227" i="1"/>
  <c r="A227" i="1"/>
  <c r="B226" i="1"/>
  <c r="A226" i="1"/>
  <c r="B225" i="1"/>
  <c r="A225" i="1"/>
  <c r="B224" i="1"/>
  <c r="A224" i="1"/>
  <c r="B223" i="1"/>
  <c r="A223" i="1"/>
  <c r="B222" i="1"/>
  <c r="A222" i="1"/>
  <c r="B221" i="1"/>
  <c r="A221" i="1"/>
  <c r="B220" i="1"/>
  <c r="A220" i="1"/>
  <c r="B219" i="1"/>
  <c r="A219" i="1"/>
  <c r="B218" i="1"/>
  <c r="A218" i="1"/>
  <c r="B217" i="1"/>
  <c r="A217" i="1"/>
  <c r="B216" i="1"/>
  <c r="A216" i="1"/>
  <c r="B215" i="1"/>
  <c r="A215" i="1"/>
  <c r="B214" i="1"/>
  <c r="A214" i="1"/>
  <c r="B213" i="1"/>
  <c r="A213" i="1"/>
  <c r="B212" i="1"/>
  <c r="A212" i="1"/>
  <c r="B211" i="1"/>
  <c r="A211" i="1"/>
  <c r="B210" i="1"/>
  <c r="A210" i="1"/>
  <c r="B209" i="1"/>
  <c r="A209" i="1"/>
  <c r="B208" i="1"/>
  <c r="A208" i="1"/>
  <c r="B207" i="1"/>
  <c r="A207" i="1"/>
  <c r="B206" i="1"/>
  <c r="A206" i="1"/>
  <c r="B205" i="1"/>
  <c r="A205" i="1"/>
  <c r="B204" i="1"/>
  <c r="A204" i="1"/>
  <c r="B203" i="1"/>
  <c r="A203" i="1"/>
  <c r="B202" i="1"/>
  <c r="A202" i="1"/>
  <c r="B201" i="1"/>
  <c r="A201" i="1"/>
  <c r="B200" i="1"/>
  <c r="A200" i="1"/>
  <c r="B199" i="1"/>
  <c r="A199" i="1"/>
  <c r="B198" i="1"/>
  <c r="A198" i="1"/>
  <c r="B197" i="1"/>
  <c r="A197" i="1"/>
  <c r="B196" i="1"/>
  <c r="A196" i="1"/>
  <c r="B195" i="1"/>
  <c r="A195" i="1"/>
  <c r="B194" i="1"/>
  <c r="A194" i="1"/>
  <c r="B193" i="1"/>
  <c r="A193" i="1"/>
  <c r="B192" i="1"/>
  <c r="A192" i="1"/>
  <c r="B191" i="1"/>
  <c r="A191" i="1"/>
  <c r="B190" i="1"/>
  <c r="A190" i="1"/>
  <c r="B189" i="1"/>
  <c r="A189" i="1"/>
  <c r="B188" i="1"/>
  <c r="A188" i="1"/>
  <c r="B187" i="1"/>
  <c r="A187" i="1"/>
  <c r="B186" i="1"/>
  <c r="A186" i="1"/>
  <c r="B185" i="1"/>
  <c r="A185" i="1"/>
  <c r="B184" i="1"/>
  <c r="A184" i="1"/>
  <c r="B183" i="1"/>
  <c r="A183" i="1"/>
  <c r="B182" i="1"/>
  <c r="A182" i="1"/>
  <c r="B181" i="1"/>
  <c r="A181" i="1"/>
  <c r="B180" i="1"/>
  <c r="A180" i="1"/>
  <c r="B179" i="1"/>
  <c r="A179" i="1"/>
  <c r="B178" i="1"/>
  <c r="A178" i="1"/>
  <c r="B166" i="1"/>
  <c r="A166" i="1"/>
  <c r="B177" i="1"/>
  <c r="A177" i="1"/>
  <c r="B176" i="1"/>
  <c r="A176" i="1"/>
  <c r="B175" i="1"/>
  <c r="A175" i="1"/>
  <c r="B174" i="1"/>
  <c r="A174" i="1"/>
  <c r="B173" i="1"/>
  <c r="A173" i="1"/>
  <c r="B172" i="1"/>
  <c r="A172" i="1"/>
  <c r="B171" i="1"/>
  <c r="A171" i="1"/>
  <c r="B170" i="1"/>
  <c r="A170" i="1"/>
  <c r="B168" i="1"/>
  <c r="A168" i="1"/>
  <c r="B169" i="1"/>
  <c r="A169" i="1"/>
  <c r="B158" i="1"/>
  <c r="A158" i="1"/>
  <c r="B151" i="1"/>
  <c r="A151" i="1"/>
  <c r="B167" i="1"/>
  <c r="A167" i="1"/>
  <c r="B165" i="1"/>
  <c r="A165" i="1"/>
  <c r="B157" i="1"/>
  <c r="A157" i="1"/>
  <c r="B164" i="1"/>
  <c r="A164" i="1"/>
  <c r="B163" i="1"/>
  <c r="A163" i="1"/>
  <c r="B156" i="1"/>
  <c r="A156" i="1"/>
  <c r="B150" i="1"/>
  <c r="A150" i="1"/>
  <c r="B155" i="1"/>
  <c r="A155" i="1"/>
  <c r="B154" i="1"/>
  <c r="A154" i="1"/>
  <c r="B153" i="1"/>
  <c r="A153" i="1"/>
  <c r="B152" i="1"/>
  <c r="A152" i="1"/>
  <c r="B162" i="1"/>
  <c r="A162" i="1"/>
  <c r="B161" i="1"/>
  <c r="A161" i="1"/>
  <c r="B160" i="1"/>
  <c r="A160" i="1"/>
  <c r="B159" i="1"/>
  <c r="A159" i="1"/>
  <c r="B144" i="1"/>
  <c r="A144" i="1"/>
  <c r="B143" i="1"/>
  <c r="A143" i="1"/>
  <c r="B142" i="1"/>
  <c r="A142" i="1"/>
  <c r="B149" i="1"/>
  <c r="A149" i="1"/>
  <c r="B148" i="1"/>
  <c r="A148" i="1"/>
  <c r="B147" i="1"/>
  <c r="A147" i="1"/>
  <c r="B146" i="1"/>
  <c r="A146" i="1"/>
  <c r="B141" i="1"/>
  <c r="A141" i="1"/>
  <c r="B145" i="1"/>
  <c r="A145" i="1"/>
  <c r="B121" i="1"/>
  <c r="A121" i="1"/>
  <c r="B125" i="1"/>
  <c r="A125" i="1"/>
  <c r="B120" i="1"/>
  <c r="A120" i="1"/>
  <c r="B138" i="1"/>
  <c r="A138" i="1"/>
  <c r="B124" i="1"/>
  <c r="A124" i="1"/>
  <c r="B137" i="1"/>
  <c r="A137" i="1"/>
  <c r="B140" i="1"/>
  <c r="A140" i="1"/>
  <c r="B119" i="1"/>
  <c r="A119" i="1"/>
  <c r="B136" i="1"/>
  <c r="A136" i="1"/>
  <c r="B135" i="1"/>
  <c r="A135" i="1"/>
  <c r="B134" i="1"/>
  <c r="A134" i="1"/>
  <c r="B133" i="1"/>
  <c r="A133" i="1"/>
  <c r="B132" i="1"/>
  <c r="A132" i="1"/>
  <c r="B131" i="1"/>
  <c r="A131" i="1"/>
  <c r="B130" i="1"/>
  <c r="A130" i="1"/>
  <c r="B118" i="1"/>
  <c r="A118" i="1"/>
  <c r="B123" i="1"/>
  <c r="A123" i="1"/>
  <c r="B117" i="1"/>
  <c r="A117" i="1"/>
  <c r="B129" i="1"/>
  <c r="A129" i="1"/>
  <c r="B128" i="1"/>
  <c r="A128" i="1"/>
  <c r="B127" i="1"/>
  <c r="A127" i="1"/>
  <c r="B126" i="1"/>
  <c r="A126" i="1"/>
  <c r="B139" i="1"/>
  <c r="A139" i="1"/>
  <c r="B122" i="1"/>
  <c r="A122" i="1"/>
  <c r="B112" i="1"/>
  <c r="A112" i="1"/>
  <c r="B111" i="1"/>
  <c r="A111" i="1"/>
  <c r="B116" i="1"/>
  <c r="A116" i="1"/>
  <c r="B115" i="1"/>
  <c r="A115" i="1"/>
  <c r="B110" i="1"/>
  <c r="A110" i="1"/>
  <c r="B109" i="1"/>
  <c r="A109" i="1"/>
  <c r="B114" i="1"/>
  <c r="A114" i="1"/>
  <c r="B108" i="1"/>
  <c r="A108" i="1"/>
  <c r="B113" i="1"/>
  <c r="A113" i="1"/>
  <c r="B103" i="1"/>
  <c r="A103" i="1"/>
  <c r="B102" i="1"/>
  <c r="A102" i="1"/>
  <c r="B101" i="1"/>
  <c r="A101" i="1"/>
  <c r="B100" i="1"/>
  <c r="A100" i="1"/>
  <c r="B99" i="1"/>
  <c r="A99" i="1"/>
  <c r="B98" i="1"/>
  <c r="A98" i="1"/>
  <c r="B97" i="1"/>
  <c r="A97" i="1"/>
  <c r="B107" i="1"/>
  <c r="A107" i="1"/>
  <c r="B106" i="1"/>
  <c r="A106" i="1"/>
  <c r="B96" i="1"/>
  <c r="A96" i="1"/>
  <c r="B105" i="1"/>
  <c r="A105" i="1"/>
  <c r="B104" i="1"/>
  <c r="A104" i="1"/>
  <c r="B87" i="1"/>
  <c r="A87" i="1"/>
  <c r="B89" i="1"/>
  <c r="A89" i="1"/>
  <c r="B88" i="1"/>
  <c r="A88" i="1"/>
  <c r="B95" i="1"/>
  <c r="A95" i="1"/>
  <c r="B94" i="1"/>
  <c r="A94" i="1"/>
  <c r="B86" i="1"/>
  <c r="A86" i="1"/>
  <c r="B79" i="1"/>
  <c r="A79" i="1"/>
  <c r="B78" i="1"/>
  <c r="A78" i="1"/>
  <c r="B61" i="1"/>
  <c r="A61" i="1"/>
  <c r="B93" i="1"/>
  <c r="A93" i="1"/>
  <c r="B69" i="1"/>
  <c r="A69" i="1"/>
  <c r="B68" i="1"/>
  <c r="A68" i="1"/>
  <c r="B77" i="1"/>
  <c r="A77" i="1"/>
  <c r="B76" i="1"/>
  <c r="A76" i="1"/>
  <c r="B85" i="1"/>
  <c r="A85" i="1"/>
  <c r="B84" i="1"/>
  <c r="A84" i="1"/>
  <c r="B83" i="1"/>
  <c r="A83" i="1"/>
  <c r="B92" i="1"/>
  <c r="A92" i="1"/>
  <c r="B91" i="1"/>
  <c r="A91" i="1"/>
  <c r="B90" i="1"/>
  <c r="A90" i="1"/>
  <c r="O91" i="1"/>
  <c r="N91" i="1"/>
  <c r="M91" i="1"/>
  <c r="O90" i="1"/>
  <c r="N90" i="1"/>
  <c r="M90" i="1"/>
  <c r="O67" i="1"/>
  <c r="N67" i="1"/>
  <c r="M67" i="1"/>
  <c r="B67" i="1"/>
  <c r="A67" i="1"/>
  <c r="O75" i="1"/>
  <c r="N75" i="1"/>
  <c r="M75" i="1"/>
  <c r="B75" i="1"/>
  <c r="A75" i="1"/>
  <c r="O60" i="1"/>
  <c r="N60" i="1"/>
  <c r="M60" i="1"/>
  <c r="B60" i="1"/>
  <c r="A60" i="1"/>
  <c r="O66" i="1"/>
  <c r="N66" i="1"/>
  <c r="M66" i="1"/>
  <c r="B66" i="1"/>
  <c r="A66" i="1"/>
  <c r="O65" i="1"/>
  <c r="N65" i="1"/>
  <c r="M65" i="1"/>
  <c r="B65" i="1"/>
  <c r="A65" i="1"/>
  <c r="O74" i="1"/>
  <c r="N74" i="1"/>
  <c r="M74" i="1"/>
  <c r="B74" i="1"/>
  <c r="A74" i="1"/>
  <c r="O64" i="1"/>
  <c r="N64" i="1"/>
  <c r="M64" i="1"/>
  <c r="B64" i="1"/>
  <c r="A64" i="1"/>
  <c r="O59" i="1"/>
  <c r="N59" i="1"/>
  <c r="M59" i="1"/>
  <c r="B59" i="1"/>
  <c r="A59" i="1"/>
  <c r="O56" i="1"/>
  <c r="N56" i="1"/>
  <c r="M56" i="1"/>
  <c r="B56" i="1"/>
  <c r="A56" i="1"/>
  <c r="O58" i="1"/>
  <c r="N58" i="1"/>
  <c r="M58" i="1"/>
  <c r="B58" i="1"/>
  <c r="A58" i="1"/>
  <c r="O73" i="1"/>
  <c r="N73" i="1"/>
  <c r="M73" i="1"/>
  <c r="B73" i="1"/>
  <c r="A73" i="1"/>
  <c r="O72" i="1"/>
  <c r="N72" i="1"/>
  <c r="M72" i="1"/>
  <c r="B72" i="1"/>
  <c r="A72" i="1"/>
  <c r="O82" i="1"/>
  <c r="N82" i="1"/>
  <c r="M82" i="1"/>
  <c r="B82" i="1"/>
  <c r="A82" i="1"/>
  <c r="O81" i="1"/>
  <c r="N81" i="1"/>
  <c r="M81" i="1"/>
  <c r="B81" i="1"/>
  <c r="A81" i="1"/>
  <c r="O55" i="1"/>
  <c r="N55" i="1"/>
  <c r="M55" i="1"/>
  <c r="B55" i="1"/>
  <c r="A55" i="1"/>
  <c r="O57" i="1"/>
  <c r="N57" i="1"/>
  <c r="M57" i="1"/>
  <c r="B57" i="1"/>
  <c r="A57" i="1"/>
  <c r="O63" i="1"/>
  <c r="N63" i="1"/>
  <c r="M63" i="1"/>
  <c r="B63" i="1"/>
  <c r="A63" i="1"/>
  <c r="O62" i="1"/>
  <c r="N62" i="1"/>
  <c r="M62" i="1"/>
  <c r="B62" i="1"/>
  <c r="A62" i="1"/>
  <c r="O71" i="1"/>
  <c r="N71" i="1"/>
  <c r="M71" i="1"/>
  <c r="B71" i="1"/>
  <c r="A71" i="1"/>
  <c r="O70" i="1"/>
  <c r="N70" i="1"/>
  <c r="M70" i="1"/>
  <c r="B70" i="1"/>
  <c r="A70" i="1"/>
  <c r="O80" i="1"/>
  <c r="N80" i="1"/>
  <c r="M80" i="1"/>
  <c r="B80" i="1"/>
  <c r="A80" i="1"/>
  <c r="P57" i="1" l="1"/>
  <c r="P113" i="1"/>
  <c r="P154" i="1"/>
  <c r="P180" i="1"/>
  <c r="P204" i="1"/>
  <c r="P228" i="1"/>
  <c r="P252" i="1"/>
  <c r="P276" i="1"/>
  <c r="P300" i="1"/>
  <c r="P324" i="1"/>
  <c r="P348" i="1"/>
  <c r="P69" i="1"/>
  <c r="P88" i="1"/>
  <c r="P116" i="1"/>
  <c r="P141" i="1"/>
  <c r="P158" i="1"/>
  <c r="P190" i="1"/>
  <c r="P214" i="1"/>
  <c r="P238" i="1"/>
  <c r="P262" i="1"/>
  <c r="P286" i="1"/>
  <c r="P310" i="1"/>
  <c r="P334" i="1"/>
  <c r="P65" i="1"/>
  <c r="P76" i="1"/>
  <c r="P93" i="1"/>
  <c r="P89" i="1"/>
  <c r="P108" i="1"/>
  <c r="P145" i="1"/>
  <c r="P155" i="1"/>
  <c r="P151" i="1"/>
  <c r="P181" i="1"/>
  <c r="P189" i="1"/>
  <c r="P205" i="1"/>
  <c r="P213" i="1"/>
  <c r="P229" i="1"/>
  <c r="P237" i="1"/>
  <c r="P253" i="1"/>
  <c r="P261" i="1"/>
  <c r="P277" i="1"/>
  <c r="P285" i="1"/>
  <c r="P301" i="1"/>
  <c r="P309" i="1"/>
  <c r="P325" i="1"/>
  <c r="P333" i="1"/>
  <c r="P349" i="1"/>
  <c r="P357" i="1"/>
  <c r="P146" i="1"/>
  <c r="P169" i="1"/>
  <c r="P191" i="1"/>
  <c r="P215" i="1"/>
  <c r="P239" i="1"/>
  <c r="P263" i="1"/>
  <c r="P287" i="1"/>
  <c r="P311" i="1"/>
  <c r="P335" i="1"/>
  <c r="P359" i="1"/>
  <c r="P85" i="1"/>
  <c r="P105" i="1"/>
  <c r="P161" i="1"/>
  <c r="P177" i="1"/>
  <c r="P200" i="1"/>
  <c r="P224" i="1"/>
  <c r="P248" i="1"/>
  <c r="P272" i="1"/>
  <c r="P296" i="1"/>
  <c r="P320" i="1"/>
  <c r="P344" i="1"/>
  <c r="P368" i="1"/>
  <c r="P56" i="1"/>
  <c r="P91" i="1"/>
  <c r="P94" i="1"/>
  <c r="P157" i="1"/>
  <c r="P186" i="1"/>
  <c r="P210" i="1"/>
  <c r="P234" i="1"/>
  <c r="P258" i="1"/>
  <c r="P282" i="1"/>
  <c r="P306" i="1"/>
  <c r="P330" i="1"/>
  <c r="P347" i="1"/>
  <c r="P83" i="1"/>
  <c r="P61" i="1"/>
  <c r="P358" i="1"/>
  <c r="P227" i="1"/>
  <c r="P68" i="1"/>
  <c r="P362" i="1"/>
  <c r="P153" i="1"/>
  <c r="P323" i="1"/>
  <c r="P179" i="1"/>
  <c r="P203" i="1"/>
  <c r="P251" i="1"/>
  <c r="P299" i="1"/>
  <c r="P96" i="1"/>
  <c r="P102" i="1"/>
  <c r="P148" i="1"/>
  <c r="P162" i="1"/>
  <c r="P170" i="1"/>
  <c r="P166" i="1"/>
  <c r="P193" i="1"/>
  <c r="P201" i="1"/>
  <c r="P217" i="1"/>
  <c r="P225" i="1"/>
  <c r="P241" i="1"/>
  <c r="P249" i="1"/>
  <c r="P265" i="1"/>
  <c r="P273" i="1"/>
  <c r="P289" i="1"/>
  <c r="P297" i="1"/>
  <c r="P313" i="1"/>
  <c r="P321" i="1"/>
  <c r="P337" i="1"/>
  <c r="P345" i="1"/>
  <c r="P361" i="1"/>
  <c r="P370" i="1"/>
  <c r="P275" i="1"/>
  <c r="P62" i="1"/>
  <c r="P82" i="1"/>
  <c r="P72" i="1"/>
  <c r="P95" i="1"/>
  <c r="P107" i="1"/>
  <c r="P111" i="1"/>
  <c r="P142" i="1"/>
  <c r="P165" i="1"/>
  <c r="P172" i="1"/>
  <c r="P187" i="1"/>
  <c r="P195" i="1"/>
  <c r="P211" i="1"/>
  <c r="P219" i="1"/>
  <c r="P235" i="1"/>
  <c r="P243" i="1"/>
  <c r="P259" i="1"/>
  <c r="P267" i="1"/>
  <c r="P283" i="1"/>
  <c r="P291" i="1"/>
  <c r="P307" i="1"/>
  <c r="P315" i="1"/>
  <c r="P331" i="1"/>
  <c r="P339" i="1"/>
  <c r="P355" i="1"/>
  <c r="P363" i="1"/>
  <c r="P159" i="1"/>
  <c r="P175" i="1"/>
  <c r="P198" i="1"/>
  <c r="P222" i="1"/>
  <c r="P246" i="1"/>
  <c r="P270" i="1"/>
  <c r="P294" i="1"/>
  <c r="P318" i="1"/>
  <c r="P342" i="1"/>
  <c r="P366" i="1"/>
  <c r="P188" i="1"/>
  <c r="P260" i="1"/>
  <c r="P92" i="1"/>
  <c r="P144" i="1"/>
  <c r="P174" i="1"/>
  <c r="P221" i="1"/>
  <c r="P245" i="1"/>
  <c r="P269" i="1"/>
  <c r="P293" i="1"/>
  <c r="P317" i="1"/>
  <c r="P114" i="1"/>
  <c r="P206" i="1"/>
  <c r="P254" i="1"/>
  <c r="P84" i="1"/>
  <c r="P78" i="1"/>
  <c r="P100" i="1"/>
  <c r="P109" i="1"/>
  <c r="P160" i="1"/>
  <c r="P156" i="1"/>
  <c r="P176" i="1"/>
  <c r="P183" i="1"/>
  <c r="P199" i="1"/>
  <c r="P207" i="1"/>
  <c r="P223" i="1"/>
  <c r="P231" i="1"/>
  <c r="P247" i="1"/>
  <c r="P255" i="1"/>
  <c r="P271" i="1"/>
  <c r="P279" i="1"/>
  <c r="P295" i="1"/>
  <c r="P303" i="1"/>
  <c r="P319" i="1"/>
  <c r="P327" i="1"/>
  <c r="P343" i="1"/>
  <c r="P351" i="1"/>
  <c r="P367" i="1"/>
  <c r="P173" i="1"/>
  <c r="P244" i="1"/>
  <c r="P292" i="1"/>
  <c r="P364" i="1"/>
  <c r="P150" i="1"/>
  <c r="P230" i="1"/>
  <c r="P278" i="1"/>
  <c r="P81" i="1"/>
  <c r="P167" i="1"/>
  <c r="P236" i="1"/>
  <c r="P332" i="1"/>
  <c r="P365" i="1"/>
  <c r="P350" i="1"/>
  <c r="P147" i="1"/>
  <c r="P168" i="1"/>
  <c r="P192" i="1"/>
  <c r="P216" i="1"/>
  <c r="P240" i="1"/>
  <c r="P264" i="1"/>
  <c r="P288" i="1"/>
  <c r="P312" i="1"/>
  <c r="P336" i="1"/>
  <c r="P360" i="1"/>
  <c r="P212" i="1"/>
  <c r="P308" i="1"/>
  <c r="P356" i="1"/>
  <c r="P66" i="1"/>
  <c r="P79" i="1"/>
  <c r="P110" i="1"/>
  <c r="P163" i="1"/>
  <c r="P184" i="1"/>
  <c r="P208" i="1"/>
  <c r="P232" i="1"/>
  <c r="P256" i="1"/>
  <c r="P280" i="1"/>
  <c r="P304" i="1"/>
  <c r="P328" i="1"/>
  <c r="P352" i="1"/>
  <c r="P326" i="1"/>
  <c r="P143" i="1"/>
  <c r="P369" i="1"/>
  <c r="P341" i="1"/>
  <c r="P182" i="1"/>
  <c r="P86" i="1"/>
  <c r="P115" i="1"/>
  <c r="P164" i="1"/>
  <c r="P185" i="1"/>
  <c r="P209" i="1"/>
  <c r="P233" i="1"/>
  <c r="P257" i="1"/>
  <c r="P281" i="1"/>
  <c r="P305" i="1"/>
  <c r="P329" i="1"/>
  <c r="P353" i="1"/>
  <c r="P196" i="1"/>
  <c r="P340" i="1"/>
  <c r="P112" i="1"/>
  <c r="P284" i="1"/>
  <c r="P197" i="1"/>
  <c r="P354" i="1"/>
  <c r="P87" i="1"/>
  <c r="P77" i="1"/>
  <c r="P152" i="1"/>
  <c r="P178" i="1"/>
  <c r="P202" i="1"/>
  <c r="P226" i="1"/>
  <c r="P250" i="1"/>
  <c r="P274" i="1"/>
  <c r="P298" i="1"/>
  <c r="P322" i="1"/>
  <c r="P346" i="1"/>
  <c r="P220" i="1"/>
  <c r="P268" i="1"/>
  <c r="P316" i="1"/>
  <c r="P90" i="1"/>
  <c r="P302" i="1"/>
  <c r="P149" i="1"/>
  <c r="P171" i="1"/>
  <c r="P194" i="1"/>
  <c r="P218" i="1"/>
  <c r="P242" i="1"/>
  <c r="P266" i="1"/>
  <c r="P290" i="1"/>
  <c r="P314" i="1"/>
  <c r="P338" i="1"/>
  <c r="P104" i="1"/>
  <c r="P101" i="1"/>
  <c r="P97" i="1"/>
  <c r="P98" i="1"/>
  <c r="P99" i="1"/>
  <c r="P103" i="1"/>
  <c r="P106" i="1"/>
  <c r="P58" i="1"/>
  <c r="P74" i="1"/>
  <c r="P60" i="1"/>
  <c r="P63" i="1"/>
  <c r="P73" i="1"/>
  <c r="P75" i="1"/>
  <c r="P55" i="1"/>
  <c r="P70" i="1"/>
  <c r="P59" i="1"/>
  <c r="P80" i="1"/>
  <c r="P64" i="1"/>
  <c r="P67" i="1"/>
  <c r="P71" i="1"/>
  <c r="O54" i="1"/>
  <c r="N54" i="1"/>
  <c r="M54" i="1"/>
  <c r="B54" i="1"/>
  <c r="A54" i="1"/>
  <c r="O44" i="1"/>
  <c r="N44" i="1"/>
  <c r="M44" i="1"/>
  <c r="B44" i="1"/>
  <c r="A44" i="1"/>
  <c r="O43" i="1"/>
  <c r="N43" i="1"/>
  <c r="M43" i="1"/>
  <c r="B43" i="1"/>
  <c r="A43" i="1"/>
  <c r="O42" i="1"/>
  <c r="N42" i="1"/>
  <c r="M42" i="1"/>
  <c r="B42" i="1"/>
  <c r="A42" i="1"/>
  <c r="O34" i="1"/>
  <c r="N34" i="1"/>
  <c r="M34" i="1"/>
  <c r="B34" i="1"/>
  <c r="A34" i="1"/>
  <c r="O41" i="1"/>
  <c r="N41" i="1"/>
  <c r="M41" i="1"/>
  <c r="B41" i="1"/>
  <c r="A41" i="1"/>
  <c r="O53" i="1"/>
  <c r="N53" i="1"/>
  <c r="M53" i="1"/>
  <c r="B53" i="1"/>
  <c r="A53" i="1"/>
  <c r="O52" i="1"/>
  <c r="N52" i="1"/>
  <c r="M52" i="1"/>
  <c r="B52" i="1"/>
  <c r="A52" i="1"/>
  <c r="O51" i="1"/>
  <c r="N51" i="1"/>
  <c r="M51" i="1"/>
  <c r="B51" i="1"/>
  <c r="A51" i="1"/>
  <c r="O40" i="1"/>
  <c r="N40" i="1"/>
  <c r="M40" i="1"/>
  <c r="B40" i="1"/>
  <c r="A40" i="1"/>
  <c r="O39" i="1"/>
  <c r="N39" i="1"/>
  <c r="M39" i="1"/>
  <c r="B39" i="1"/>
  <c r="A39" i="1"/>
  <c r="O38" i="1"/>
  <c r="N38" i="1"/>
  <c r="M38" i="1"/>
  <c r="B38" i="1"/>
  <c r="A38" i="1"/>
  <c r="O31" i="1"/>
  <c r="N31" i="1"/>
  <c r="M31" i="1"/>
  <c r="B31" i="1"/>
  <c r="A31" i="1"/>
  <c r="O50" i="1"/>
  <c r="N50" i="1"/>
  <c r="M50" i="1"/>
  <c r="B50" i="1"/>
  <c r="A50" i="1"/>
  <c r="O49" i="1"/>
  <c r="N49" i="1"/>
  <c r="M49" i="1"/>
  <c r="B49" i="1"/>
  <c r="A49" i="1"/>
  <c r="O37" i="1"/>
  <c r="N37" i="1"/>
  <c r="M37" i="1"/>
  <c r="B37" i="1"/>
  <c r="A37" i="1"/>
  <c r="O33" i="1"/>
  <c r="N33" i="1"/>
  <c r="M33" i="1"/>
  <c r="B33" i="1"/>
  <c r="A33" i="1"/>
  <c r="O48" i="1"/>
  <c r="N48" i="1"/>
  <c r="M48" i="1"/>
  <c r="B48" i="1"/>
  <c r="A48" i="1"/>
  <c r="O47" i="1"/>
  <c r="N47" i="1"/>
  <c r="M47" i="1"/>
  <c r="B47" i="1"/>
  <c r="A47" i="1"/>
  <c r="O36" i="1"/>
  <c r="N36" i="1"/>
  <c r="M36" i="1"/>
  <c r="B36" i="1"/>
  <c r="A36" i="1"/>
  <c r="O46" i="1"/>
  <c r="N46" i="1"/>
  <c r="M46" i="1"/>
  <c r="B46" i="1"/>
  <c r="A46" i="1"/>
  <c r="O45" i="1"/>
  <c r="N45" i="1"/>
  <c r="M45" i="1"/>
  <c r="B45" i="1"/>
  <c r="A45" i="1"/>
  <c r="O35" i="1"/>
  <c r="N35" i="1"/>
  <c r="M35" i="1"/>
  <c r="B35" i="1"/>
  <c r="A35" i="1"/>
  <c r="O7" i="1"/>
  <c r="N7" i="1"/>
  <c r="M7" i="1"/>
  <c r="B7" i="1"/>
  <c r="A7" i="1"/>
  <c r="O2" i="1"/>
  <c r="N2" i="1"/>
  <c r="M2" i="1"/>
  <c r="B2" i="1"/>
  <c r="A2" i="1"/>
  <c r="O6" i="1"/>
  <c r="N6" i="1"/>
  <c r="M6" i="1"/>
  <c r="B6" i="1"/>
  <c r="A6" i="1"/>
  <c r="O10" i="1"/>
  <c r="N10" i="1"/>
  <c r="M10" i="1"/>
  <c r="O15" i="1"/>
  <c r="N15" i="1"/>
  <c r="M15" i="1"/>
  <c r="O27" i="1"/>
  <c r="N27" i="1"/>
  <c r="M27" i="1"/>
  <c r="O14" i="1"/>
  <c r="N14" i="1"/>
  <c r="M14" i="1"/>
  <c r="O9" i="1"/>
  <c r="N9" i="1"/>
  <c r="M9" i="1"/>
  <c r="O30" i="1"/>
  <c r="N30" i="1"/>
  <c r="M30" i="1"/>
  <c r="O13" i="1"/>
  <c r="N13" i="1"/>
  <c r="M13" i="1"/>
  <c r="O12" i="1"/>
  <c r="N12" i="1"/>
  <c r="M12" i="1"/>
  <c r="O20" i="1"/>
  <c r="N20" i="1"/>
  <c r="M20" i="1"/>
  <c r="O26" i="1"/>
  <c r="N26" i="1"/>
  <c r="M26" i="1"/>
  <c r="O5" i="1"/>
  <c r="N5" i="1"/>
  <c r="M5" i="1"/>
  <c r="O8" i="1"/>
  <c r="N8" i="1"/>
  <c r="M8" i="1"/>
  <c r="O19" i="1"/>
  <c r="N19" i="1"/>
  <c r="M19" i="1"/>
  <c r="O18" i="1"/>
  <c r="N18" i="1"/>
  <c r="M18" i="1"/>
  <c r="O17" i="1"/>
  <c r="N17" i="1"/>
  <c r="M17" i="1"/>
  <c r="O25" i="1"/>
  <c r="N25" i="1"/>
  <c r="M25" i="1"/>
  <c r="O29" i="1"/>
  <c r="N29" i="1"/>
  <c r="M29" i="1"/>
  <c r="O24" i="1"/>
  <c r="N24" i="1"/>
  <c r="M24" i="1"/>
  <c r="O28" i="1"/>
  <c r="N28" i="1"/>
  <c r="M28" i="1"/>
  <c r="O32" i="1"/>
  <c r="N32" i="1"/>
  <c r="M32" i="1"/>
  <c r="O4" i="1"/>
  <c r="N4" i="1"/>
  <c r="M4" i="1"/>
  <c r="O16" i="1"/>
  <c r="N16" i="1"/>
  <c r="M16" i="1"/>
  <c r="O11" i="1"/>
  <c r="N11" i="1"/>
  <c r="M11" i="1"/>
  <c r="O23" i="1"/>
  <c r="N23" i="1"/>
  <c r="M23" i="1"/>
  <c r="O22" i="1"/>
  <c r="N22" i="1"/>
  <c r="M22" i="1"/>
  <c r="O21" i="1"/>
  <c r="N21" i="1"/>
  <c r="M21" i="1"/>
  <c r="O3" i="1"/>
  <c r="N3" i="1"/>
  <c r="M3" i="1"/>
  <c r="B10" i="1"/>
  <c r="B15" i="1"/>
  <c r="B27" i="1"/>
  <c r="B14" i="1"/>
  <c r="B9" i="1"/>
  <c r="B30" i="1"/>
  <c r="B13" i="1"/>
  <c r="B12" i="1"/>
  <c r="B20" i="1"/>
  <c r="B26" i="1"/>
  <c r="B5" i="1"/>
  <c r="B8" i="1"/>
  <c r="B19" i="1"/>
  <c r="B18" i="1"/>
  <c r="B17" i="1"/>
  <c r="B25" i="1"/>
  <c r="B29" i="1"/>
  <c r="B24" i="1"/>
  <c r="B28" i="1"/>
  <c r="B32" i="1"/>
  <c r="B4" i="1"/>
  <c r="B16" i="1"/>
  <c r="B11" i="1"/>
  <c r="B23" i="1"/>
  <c r="B22" i="1"/>
  <c r="B21" i="1"/>
  <c r="B3" i="1"/>
  <c r="A10" i="1"/>
  <c r="A15" i="1"/>
  <c r="A27" i="1"/>
  <c r="A14" i="1"/>
  <c r="A9" i="1"/>
  <c r="A30" i="1"/>
  <c r="A13" i="1"/>
  <c r="A12" i="1"/>
  <c r="A20" i="1"/>
  <c r="A26" i="1"/>
  <c r="A5" i="1"/>
  <c r="A8" i="1"/>
  <c r="A19" i="1"/>
  <c r="A18" i="1"/>
  <c r="A17" i="1"/>
  <c r="A25" i="1"/>
  <c r="A29" i="1"/>
  <c r="A24" i="1"/>
  <c r="A28" i="1"/>
  <c r="A32" i="1"/>
  <c r="A4" i="1"/>
  <c r="A16" i="1"/>
  <c r="A11" i="1"/>
  <c r="A23" i="1"/>
  <c r="A22" i="1"/>
  <c r="A21" i="1"/>
  <c r="A3" i="1"/>
  <c r="P27" i="1" l="1"/>
  <c r="P42" i="1"/>
  <c r="P3" i="1"/>
  <c r="P41" i="1"/>
  <c r="P34" i="1"/>
  <c r="P52" i="1"/>
  <c r="P43" i="1"/>
  <c r="P40" i="1"/>
  <c r="P45" i="1"/>
  <c r="P44" i="1"/>
  <c r="P49" i="1"/>
  <c r="P36" i="1"/>
  <c r="P39" i="1"/>
  <c r="P54" i="1"/>
  <c r="P50" i="1"/>
  <c r="P51" i="1"/>
  <c r="P48" i="1"/>
  <c r="P31" i="1"/>
  <c r="P32" i="1"/>
  <c r="P8" i="1"/>
  <c r="P14" i="1"/>
  <c r="P38" i="1"/>
  <c r="P46" i="1"/>
  <c r="P37" i="1"/>
  <c r="P23" i="1"/>
  <c r="P53" i="1"/>
  <c r="P20" i="1"/>
  <c r="P10" i="1"/>
  <c r="P2" i="1"/>
  <c r="P17" i="1"/>
  <c r="P13" i="1"/>
  <c r="P7" i="1"/>
  <c r="P47" i="1"/>
  <c r="P4" i="1"/>
  <c r="P19" i="1"/>
  <c r="P35" i="1"/>
  <c r="P33" i="1"/>
  <c r="P6" i="1"/>
  <c r="P22" i="1"/>
  <c r="P24" i="1"/>
  <c r="P26" i="1"/>
  <c r="P15" i="1"/>
  <c r="P21" i="1"/>
  <c r="P28" i="1"/>
  <c r="P16" i="1"/>
  <c r="P18" i="1"/>
  <c r="P30" i="1"/>
  <c r="P5" i="1"/>
  <c r="P9" i="1"/>
  <c r="P29" i="1"/>
  <c r="P11" i="1"/>
  <c r="P25" i="1"/>
  <c r="P12" i="1"/>
</calcChain>
</file>

<file path=xl/sharedStrings.xml><?xml version="1.0" encoding="utf-8"?>
<sst xmlns="http://schemas.openxmlformats.org/spreadsheetml/2006/main" count="1651" uniqueCount="1045">
  <si>
    <t>country_iso3</t>
  </si>
  <si>
    <t>country_name</t>
  </si>
  <si>
    <t>country_name_ja</t>
  </si>
  <si>
    <t>title</t>
  </si>
  <si>
    <t>summary</t>
  </si>
  <si>
    <t>detail</t>
  </si>
  <si>
    <t>関係国１</t>
  </si>
  <si>
    <t>関係国２</t>
  </si>
  <si>
    <t>関係国３</t>
  </si>
  <si>
    <t>related_country_1</t>
  </si>
  <si>
    <t>related_country_2</t>
  </si>
  <si>
    <t>related_country_3</t>
  </si>
  <si>
    <t>related_countries</t>
  </si>
  <si>
    <t>impact_summary</t>
  </si>
  <si>
    <t>category</t>
  </si>
  <si>
    <t>event_date</t>
  </si>
  <si>
    <t>source_name</t>
  </si>
  <si>
    <t>source_url</t>
  </si>
  <si>
    <t>importance</t>
  </si>
  <si>
    <t>チャド</t>
  </si>
  <si>
    <t>チャドがスーダン難民をめぐり国境へ軍を展開</t>
  </si>
  <si>
    <t>スーダン</t>
  </si>
  <si>
    <t>軍事</t>
  </si>
  <si>
    <t>Reuters</t>
  </si>
  <si>
    <t>https://www.reuters.com/world/africa/chad-relocates-sudan-refugees-army-deploys-near-border-2026-03-23/</t>
  </si>
  <si>
    <t>アメリカ</t>
  </si>
  <si>
    <t>トランプ大統領、次はキューバ言及</t>
  </si>
  <si>
    <t>トランプ大統領が演説で軍事成果を強調し、次の標的としてキューバに言及。緊張拡大の懸念が浮上。</t>
  </si>
  <si>
    <t>キューバ</t>
  </si>
  <si>
    <t>https://www.reuters.com/world/americas/trump-says-cuba-is-next-speech-touting-us-military-successes-2026-03-27/</t>
  </si>
  <si>
    <t>カナダ</t>
  </si>
  <si>
    <t>カナダ、メルコスール協定狙う</t>
  </si>
  <si>
    <t>ブラジル</t>
  </si>
  <si>
    <t>アルゼンチン</t>
  </si>
  <si>
    <t>パラグアイ</t>
  </si>
  <si>
    <t>貿易</t>
  </si>
  <si>
    <t>https://www.reuters.com/world/canada-eyes-mercosur-pact-by-autumn-2026-03-27/</t>
  </si>
  <si>
    <t>欧州連合</t>
  </si>
  <si>
    <t>EＵとTPPがデジタル分野の合意を形成</t>
  </si>
  <si>
    <t>CPTPP</t>
  </si>
  <si>
    <t>https://www.reuters.com/world/americas/eu-cptpp-agree-progress-with-historic-digital-trade-deal-canadas-international-2026-03-27/</t>
  </si>
  <si>
    <t>メキシコ</t>
  </si>
  <si>
    <t>メキシコがキューバ医師協定維持を表明</t>
  </si>
  <si>
    <t>外交</t>
  </si>
  <si>
    <t>https://www.reuters.com/world/americas/mexico-uphold-cuban-doctor-agreement-president-says-2026-03-25/</t>
  </si>
  <si>
    <t>トランプ氏、マドゥロ大統領への追加訴追を示唆</t>
  </si>
  <si>
    <t>ベネズエラ</t>
  </si>
  <si>
    <t>https://www.reuters.com/world/americas/trump-says-venezuelas-maduro-face-additional-charges-2026-03-26/</t>
  </si>
  <si>
    <t>コスタリカ</t>
  </si>
  <si>
    <t>コスタリカ、アメリカからの移民送還者受け入れへ</t>
  </si>
  <si>
    <t>https://www.reuters.com/world/americas/costa-rica-plans-accept-us-sent-migrants-other-countries-2026-03-24/</t>
  </si>
  <si>
    <t>イエメン</t>
  </si>
  <si>
    <t>フーシ派がイランの戦線へ参加表明</t>
  </si>
  <si>
    <t>イラン</t>
  </si>
  <si>
    <t>イスラエル</t>
  </si>
  <si>
    <t>紛争</t>
  </si>
  <si>
    <t>https://www.reuters.com/world/asia-pacific/yemens-houthis-enter-iran-war-with-attacks-israel-while-us-marines-arrive-region-2026-03-28/</t>
  </si>
  <si>
    <t>中国</t>
  </si>
  <si>
    <t>比中、南シナ海協議再開へ</t>
  </si>
  <si>
    <t>フィリピン</t>
  </si>
  <si>
    <t>安全保障</t>
  </si>
  <si>
    <t>https://www.reuters.com/business/energy/manila-beijing-resume-talks-south-china-sea-energy-security-2026-03-28/</t>
  </si>
  <si>
    <t>ネパール</t>
  </si>
  <si>
    <t>ネパール首相にシャー氏が就任</t>
  </si>
  <si>
    <t>国内政治</t>
  </si>
  <si>
    <t>その他</t>
  </si>
  <si>
    <t>https://www.reuters.com/world/china/ex-rapper-shah-sworn-nepal-prime-minister-after-sweeping-election-win-2026-03-27/</t>
  </si>
  <si>
    <t>インドネシア</t>
  </si>
  <si>
    <t>インドネシア、未成年SNS規制が施行</t>
  </si>
  <si>
    <t>https://www.reuters.com/business/media-telecom/indonesias-social-media-curbs-kids-set-saturday-few-know-how-it-will-work-2026-03-27/</t>
  </si>
  <si>
    <t>北朝鮮</t>
  </si>
  <si>
    <t>北朝鮮とベラルーシが友好条約に署名</t>
  </si>
  <si>
    <t>ベラルーシ</t>
  </si>
  <si>
    <t>https://www.reuters.com/world/asia-pacific/north-korea-belarus-sign-friendship-treaty-kcna-says-2026-03-26/</t>
  </si>
  <si>
    <t>パキスタン</t>
  </si>
  <si>
    <t>パキスタン、アフガニスタンで軍事作戦継続</t>
  </si>
  <si>
    <t>アフガニスタン</t>
  </si>
  <si>
    <t>https://www.reuters.com/world/asia-pacific/pakistan-continuing-military-operations-against-afghanistan-pakistan-foreign-2026-03-26/</t>
  </si>
  <si>
    <t>トランプ大統領、イランのエネルギー施設への攻撃を一時停止</t>
  </si>
  <si>
    <t>https://www.reuters.com/world/asia-pacific/iran-says-it-is-reviewing-us-ceasefire-plan-no-talks-trump-says-tehran-leaders-2026-03-26/</t>
  </si>
  <si>
    <t>アメリカがアラクチ外相らを攻撃対象から一時解除</t>
  </si>
  <si>
    <t>https://www.reuters.com/world/asia-pacific/israel-took-irans-araqchi-qalibaf-off-hit-list-pakistan-request-pakistani-2026-03-26/</t>
  </si>
  <si>
    <t>日本</t>
  </si>
  <si>
    <t>日本、対中関係を「最重要」から格下げ</t>
  </si>
  <si>
    <t>https://www.reuters.com/world/china/japan-drop-most-important-tag-china-ties-2026-03-24/</t>
  </si>
  <si>
    <t>香港警察、外国人へのパスワード取得権拡大</t>
  </si>
  <si>
    <t>https://www.reuters.com/world/china/hong-kong-police-given-new-powers-obtain-phone-computer-passwords-2026-03-23/</t>
  </si>
  <si>
    <t>ウクライナ</t>
  </si>
  <si>
    <t>ウクライナとサウジアラビアが防衛協力に合意</t>
  </si>
  <si>
    <t>サウジアラビア</t>
  </si>
  <si>
    <t>https://www.reuters.com/business/aerospace-defense/ukraine-saudi-arabia-sign-deal-defence-cooperation-zelenskiy-says-2026-03-27/</t>
  </si>
  <si>
    <t>ウクライナ、ロシアのエネルギー施設へ圧力</t>
  </si>
  <si>
    <t>ロシア</t>
  </si>
  <si>
    <t>https://www.reuters.com/business/energy/ukraine-using-strikes-pressure-russia-after-oil-sanctions-eased-zelenskiy-says-2026-03-26/</t>
  </si>
  <si>
    <t>キプロス</t>
  </si>
  <si>
    <t>キプロス、イギリスと基地協議</t>
  </si>
  <si>
    <t>イギリス</t>
  </si>
  <si>
    <t>https://www.reuters.com/world/uk/cyprus-has-opened-discussion-with-uk-over-its-bases-president-says-2026-03-25/</t>
  </si>
  <si>
    <t>デンマーク</t>
  </si>
  <si>
    <t>https://www.reuters.com/world/europe/denmarks-prime-minister-hands-government-resignation-after-election-defeat-2026-03-25/</t>
  </si>
  <si>
    <t>ウクライナがUAE・カタールと防衛協力</t>
  </si>
  <si>
    <t>UAE</t>
  </si>
  <si>
    <t>カタール</t>
  </si>
  <si>
    <t>https://www.reuters.com/world/middle-east/ukraine-uae-agree-cooperate-defence-zelenskiy-says-2026-03-28/</t>
  </si>
  <si>
    <t>イスラエルがレバノン南部へ緩衝地帯設置計画を発表</t>
  </si>
  <si>
    <t>レバノン</t>
  </si>
  <si>
    <t>https://www.reuters.com/graphics/IRAN-CRISIS/LEBANON-ISRAEL-INFRASTRUCTURE/gkvlklaxypb/</t>
  </si>
  <si>
    <t>トルコ</t>
  </si>
  <si>
    <t>https://www.reuters.com/business/aerospace-defense/uk-turkey-sign-multi-billion-pound-air-defence-deal-2026-03-25/</t>
  </si>
  <si>
    <t>コンゴ民主共和国</t>
  </si>
  <si>
    <t>DRコンゴが中国との鉱業協力強化</t>
  </si>
  <si>
    <t>https://www.reuters.com/world/africa/congo-china-deepen-mining-ties-us-pushes-rival-minerals-pact-2026-03-27/</t>
  </si>
  <si>
    <t>ケニア</t>
  </si>
  <si>
    <t>ケニアが中国との貿易協定に最終合意</t>
  </si>
  <si>
    <t>https://www.reuters.com/world/africa/kenya-finalises-trade-deal-with-china-president-says-2026-03-25/</t>
  </si>
  <si>
    <t>欧州連合・オーストラリアが貿易協定を締結</t>
  </si>
  <si>
    <t>オーストラリア</t>
  </si>
  <si>
    <t>https://www.reuters.com/business/highlights-eu-australia-trade-agreement-2026-03-24/</t>
  </si>
  <si>
    <t>イスラエル</t>
    <phoneticPr fontId="18"/>
  </si>
  <si>
    <t>イスラエル閣僚がレバノン南部を併合宣言</t>
    <rPh sb="12" eb="14">
      <t>ナンブ</t>
    </rPh>
    <phoneticPr fontId="18"/>
  </si>
  <si>
    <t>レバノン</t>
    <phoneticPr fontId="18"/>
  </si>
  <si>
    <t>Reuters</t>
    <phoneticPr fontId="18"/>
  </si>
  <si>
    <t>https://www.reuters.com/world/middle-east/israeli-minister-calls-annexation-southern-lebanon-2026-03-23/</t>
  </si>
  <si>
    <t>スロベニア</t>
    <phoneticPr fontId="18"/>
  </si>
  <si>
    <t>スロベニア総選挙</t>
    <rPh sb="5" eb="8">
      <t>ソウセンキョ</t>
    </rPh>
    <phoneticPr fontId="18"/>
  </si>
  <si>
    <t>https://www.reuters.com/world/europe/slovenians-vote-tight-race-between-liberals-populist-right-2026-03-22/</t>
    <phoneticPr fontId="18"/>
  </si>
  <si>
    <t>イタリア</t>
    <phoneticPr fontId="18"/>
  </si>
  <si>
    <t>イタリアの司法改革案が国民投票にて否決</t>
    <rPh sb="5" eb="10">
      <t>シホウカイカクアン</t>
    </rPh>
    <rPh sb="11" eb="15">
      <t>コクミントウヒョウ</t>
    </rPh>
    <rPh sb="17" eb="19">
      <t>ヒケツ</t>
    </rPh>
    <phoneticPr fontId="1"/>
  </si>
  <si>
    <t>https://www.reuters.com/world/europe/exit-polls-suggest-italys-meloni-has-narrowly-lost-justice-referendum-vote-2026-03-23/</t>
    <phoneticPr fontId="18"/>
  </si>
  <si>
    <t>キューバ</t>
    <phoneticPr fontId="18"/>
  </si>
  <si>
    <t>ロシア原油がキューバに到着</t>
    <rPh sb="11" eb="13">
      <t>トウチャク</t>
    </rPh>
    <phoneticPr fontId="18"/>
  </si>
  <si>
    <t>ロシア</t>
    <phoneticPr fontId="18"/>
  </si>
  <si>
    <t>アメリカ</t>
    <phoneticPr fontId="18"/>
  </si>
  <si>
    <t>エネルギー</t>
  </si>
  <si>
    <t>Bloomberg</t>
    <phoneticPr fontId="18"/>
  </si>
  <si>
    <t>https://www.bloomberg.com/news/articles/2026-03-30/russian-oil-shipment-buys-us-and-cuba-time-as-crisis-festers</t>
    <phoneticPr fontId="18"/>
  </si>
  <si>
    <t>パラグアイ</t>
    <phoneticPr fontId="18"/>
  </si>
  <si>
    <t>パラグアイ、財務相が交代</t>
    <phoneticPr fontId="18"/>
  </si>
  <si>
    <t>https://www.bloomberg.com/news/articles/2026-03-31/paraguay-names-interim-finance-chief-after-fernandez-resigns</t>
    <phoneticPr fontId="18"/>
  </si>
  <si>
    <t>アメリカ、3隻目の空母を中東海域へ派遣</t>
    <rPh sb="12" eb="16">
      <t>チュウトウカイイキ</t>
    </rPh>
    <phoneticPr fontId="18"/>
  </si>
  <si>
    <t>イラン</t>
    <phoneticPr fontId="18"/>
  </si>
  <si>
    <t>https://www.bloomberg.com/news/articles/2026-03-31/third-us-aircraft-carrier-heads-to-mideast-as-iran-war-continues</t>
    <phoneticPr fontId="18"/>
  </si>
  <si>
    <t>レバノン南部で国連平和維持軍3名が死亡</t>
    <rPh sb="4" eb="6">
      <t>ナンブ</t>
    </rPh>
    <rPh sb="7" eb="14">
      <t>コクレンヘイワイジグン</t>
    </rPh>
    <rPh sb="15" eb="16">
      <t>メイ</t>
    </rPh>
    <rPh sb="17" eb="19">
      <t>シボウ</t>
    </rPh>
    <phoneticPr fontId="18"/>
  </si>
  <si>
    <t>https://www.reuters.com/world/middle-east/unifil-says-one-peacekeeper-killed-one-critically-injured-southern-lebanon-2026-03-29/</t>
  </si>
  <si>
    <t>イギリス</t>
    <phoneticPr fontId="18"/>
  </si>
  <si>
    <t>イギリスとシリアの首脳会談</t>
    <rPh sb="9" eb="13">
      <t>シュノウカイダン</t>
    </rPh>
    <phoneticPr fontId="18"/>
  </si>
  <si>
    <t>シリア</t>
    <phoneticPr fontId="18"/>
  </si>
  <si>
    <t>https://www.reuters.com/world/middle-east/uk-pm-starmer-raises-migration-border-security-talks-with-syrias-president-2026-03-31/</t>
  </si>
  <si>
    <t>イスラエルがレバノン南部に緩衝地帯設置を表明</t>
    <rPh sb="10" eb="12">
      <t>ナンブ</t>
    </rPh>
    <rPh sb="13" eb="19">
      <t>カンショウチタイセッチ</t>
    </rPh>
    <rPh sb="20" eb="22">
      <t>ヒョウメイ</t>
    </rPh>
    <phoneticPr fontId="18"/>
  </si>
  <si>
    <t>https://www.reuters.com/world/middle-east/israel-establish-buffer-zone-south-lebanon-up-litani-river-defence-minister-says-2026-03-31/</t>
  </si>
  <si>
    <t>ウクライナ</t>
    <phoneticPr fontId="18"/>
  </si>
  <si>
    <t>ゼレンスキー大統領のヨルダン訪問</t>
    <rPh sb="6" eb="9">
      <t>ダイトウリョウ</t>
    </rPh>
    <rPh sb="14" eb="16">
      <t>ホウモン</t>
    </rPh>
    <phoneticPr fontId="18"/>
  </si>
  <si>
    <t>ヨルダン</t>
    <phoneticPr fontId="18"/>
  </si>
  <si>
    <t>https://www.reuters.com/business/aerospace-defense/ukraines-zelenskiy-arrives-jordan-next-leg-gulf-tour-2026-03-29/</t>
  </si>
  <si>
    <t>ロシアがスパイ容疑で英外交官を追放</t>
    <rPh sb="7" eb="9">
      <t>ヨウギ</t>
    </rPh>
    <rPh sb="10" eb="11">
      <t>エイ</t>
    </rPh>
    <rPh sb="11" eb="14">
      <t>ガイコウカン</t>
    </rPh>
    <rPh sb="15" eb="17">
      <t>ツイホウ</t>
    </rPh>
    <phoneticPr fontId="18"/>
  </si>
  <si>
    <t>https://www.reuters.com/world/russia-expels-british-diplomat-over-espionage-fsb-says-2026-03-30/</t>
  </si>
  <si>
    <t>イタリア、米軍機のシチリア基地利用を拒否と発表</t>
    <rPh sb="5" eb="8">
      <t>ベイグンキ</t>
    </rPh>
    <rPh sb="13" eb="17">
      <t>キチリヨウ</t>
    </rPh>
    <rPh sb="18" eb="20">
      <t>キョヒ</t>
    </rPh>
    <rPh sb="21" eb="23">
      <t>ハッピョウ</t>
    </rPh>
    <phoneticPr fontId="1"/>
  </si>
  <si>
    <t>https://www.reuters.com/business/aerospace-defense/italy-refuses-us-aircraft-use-sicily-base-middle-east-operations-source-says-2026-03-31/</t>
  </si>
  <si>
    <t>フランス</t>
    <phoneticPr fontId="18"/>
  </si>
  <si>
    <t>フランスがイスラエルの領空通過を拒否</t>
    <rPh sb="11" eb="13">
      <t>リョウクウ</t>
    </rPh>
    <rPh sb="13" eb="15">
      <t>ツウカ</t>
    </rPh>
    <rPh sb="16" eb="18">
      <t>キョヒ</t>
    </rPh>
    <phoneticPr fontId="18"/>
  </si>
  <si>
    <t>https://www.reuters.com/world/china/france-refused-israel-use-its-air-space-transfer-us-weapons-iran-war-sources-2026-03-31/</t>
  </si>
  <si>
    <t>ネパール</t>
    <phoneticPr fontId="18"/>
  </si>
  <si>
    <t>ネパールの前首相が逮捕される</t>
    <rPh sb="5" eb="8">
      <t>ゼンシュショウ</t>
    </rPh>
    <rPh sb="9" eb="11">
      <t>タイホ</t>
    </rPh>
    <phoneticPr fontId="18"/>
  </si>
  <si>
    <t>https://www.reuters.com/world/asia-pacific/nepals-ex-pm-oli-held-over-deaths-during-gen-z-protests-2026-03-28/</t>
  </si>
  <si>
    <t>アフガニスタン</t>
    <phoneticPr fontId="18"/>
  </si>
  <si>
    <t>アフガニスタンとパキスタンで豪雨被害</t>
    <rPh sb="16" eb="18">
      <t>ヒガイ</t>
    </rPh>
    <phoneticPr fontId="18"/>
  </si>
  <si>
    <t>パキスタン</t>
    <phoneticPr fontId="18"/>
  </si>
  <si>
    <t>人道</t>
  </si>
  <si>
    <t>https://www.reuters.com/sustainability/climate-energy/heavy-rain-floods-kill-22-people-afghanistan-2026-03-30/</t>
  </si>
  <si>
    <t>コソボ</t>
    <phoneticPr fontId="18"/>
  </si>
  <si>
    <t>コソボがガザ地区への部隊派遣を承認</t>
    <rPh sb="6" eb="8">
      <t>チク</t>
    </rPh>
    <rPh sb="10" eb="14">
      <t>ブタイハケン</t>
    </rPh>
    <rPh sb="15" eb="17">
      <t>ショウニン</t>
    </rPh>
    <phoneticPr fontId="18"/>
  </si>
  <si>
    <t>パレスチナ</t>
    <phoneticPr fontId="18"/>
  </si>
  <si>
    <t>https://www.reuters.com/world/asia-pacific/kosovo-approves-troops-gaza-under-us-backed-scheme-2026-03-30/</t>
  </si>
  <si>
    <t>パキスタンとアフガニスタンが再衝突</t>
    <rPh sb="14" eb="17">
      <t>サイショウトツ</t>
    </rPh>
    <phoneticPr fontId="18"/>
  </si>
  <si>
    <t>https://www.reuters.com/world/asia-pacific/pakistan-afghanistan-trade-fire-islamabad-prepares-host-us-iran-talks-2026-03-30/</t>
  </si>
  <si>
    <t>タイ</t>
    <phoneticPr fontId="18"/>
  </si>
  <si>
    <t>タイにて新内閣が承認される</t>
    <rPh sb="4" eb="7">
      <t>シンナイカク</t>
    </rPh>
    <rPh sb="8" eb="10">
      <t>ショウニン</t>
    </rPh>
    <phoneticPr fontId="18"/>
  </si>
  <si>
    <t>https://www.reuters.com/world/asia-pacific/thai-king-approves-pm-anutins-cabinet-royal-gazette-says-2026-03-31/</t>
  </si>
  <si>
    <t>韓国</t>
    <rPh sb="0" eb="2">
      <t>カンコク</t>
    </rPh>
    <phoneticPr fontId="18"/>
  </si>
  <si>
    <t>韓国にて株価の大暴落と通貨の急落が発生</t>
    <rPh sb="0" eb="2">
      <t>カンコク</t>
    </rPh>
    <rPh sb="4" eb="6">
      <t>カブカ</t>
    </rPh>
    <rPh sb="7" eb="10">
      <t>ダイボウラク</t>
    </rPh>
    <rPh sb="11" eb="13">
      <t>ツウカ</t>
    </rPh>
    <rPh sb="14" eb="16">
      <t>キュウラク</t>
    </rPh>
    <rPh sb="17" eb="19">
      <t>ハッセイ</t>
    </rPh>
    <phoneticPr fontId="18"/>
  </si>
  <si>
    <t>金融</t>
  </si>
  <si>
    <t>https://www.reuters.com/world/asia-pacific/south-korea-hit-by-steepest-stocks-selloff-since-2008-currency-tumbles-2026-03-31/</t>
  </si>
  <si>
    <t>メキシコ</t>
    <phoneticPr fontId="18"/>
  </si>
  <si>
    <t>モンゴル</t>
    <phoneticPr fontId="18"/>
  </si>
  <si>
    <t>モンゴルにて新首相が承認される</t>
    <rPh sb="6" eb="9">
      <t>シンシュショウ</t>
    </rPh>
    <rPh sb="10" eb="12">
      <t>ショウニン</t>
    </rPh>
    <phoneticPr fontId="18"/>
  </si>
  <si>
    <t>https://www.reuters.com/world/china/mongolia-names-new-prime-minister-following-stalemate-parliament-2026-03-31/</t>
  </si>
  <si>
    <t>アメリカがベネズエラの大使館を再開</t>
    <rPh sb="11" eb="14">
      <t>タイシカン</t>
    </rPh>
    <rPh sb="15" eb="17">
      <t>サイカイ</t>
    </rPh>
    <phoneticPr fontId="18"/>
  </si>
  <si>
    <t>ベネズエラ</t>
    <phoneticPr fontId="18"/>
  </si>
  <si>
    <t>https://www.reuters.com/world/americas/us-resumes-embassy-operations-venezuela-2026-03-30/</t>
  </si>
  <si>
    <t>エジプト</t>
    <phoneticPr fontId="18"/>
  </si>
  <si>
    <t>アラブ連盟の事務総長にエジプト外交官が指名される</t>
    <rPh sb="3" eb="5">
      <t>レンメイ</t>
    </rPh>
    <rPh sb="6" eb="10">
      <t>ジムソウチョウ</t>
    </rPh>
    <rPh sb="15" eb="18">
      <t>ガイコウカン</t>
    </rPh>
    <rPh sb="19" eb="21">
      <t>シメイ</t>
    </rPh>
    <phoneticPr fontId="18"/>
  </si>
  <si>
    <t>https://www.reuters.com/business/media-telecom/arab-foreign-ministers-name-nabil-fahmy-arab-league-chief-2026-03-29/</t>
  </si>
  <si>
    <t>エジプトとキプロス、天然ガス協力協定に署名</t>
    <rPh sb="16" eb="18">
      <t>キョウテイ</t>
    </rPh>
    <rPh sb="19" eb="21">
      <t>ショメイ</t>
    </rPh>
    <phoneticPr fontId="18"/>
  </si>
  <si>
    <t>キプロス</t>
    <phoneticPr fontId="18"/>
  </si>
  <si>
    <t>https://www.reuters.com/business/energy/egypt-cyprus-sign-framework-agreement-cooperation-gas-2026-03-30/</t>
  </si>
  <si>
    <t>ソマリア</t>
    <phoneticPr fontId="18"/>
  </si>
  <si>
    <t>ソマリア軍が南西部主要都市を制圧</t>
    <rPh sb="4" eb="5">
      <t>グン</t>
    </rPh>
    <rPh sb="6" eb="13">
      <t>ナンセイブシュヨウトシ</t>
    </rPh>
    <rPh sb="14" eb="16">
      <t>セイアツ</t>
    </rPh>
    <phoneticPr fontId="18"/>
  </si>
  <si>
    <t>https://www.reuters.com/world/africa/somali-national-army-takes-control-part-biggest-city-south-west-state-2026-03-30/</t>
  </si>
  <si>
    <t>イラン海軍司令官の死亡が発表される</t>
    <rPh sb="3" eb="8">
      <t>カイグンシレイカン</t>
    </rPh>
    <rPh sb="9" eb="11">
      <t>シボウ</t>
    </rPh>
    <rPh sb="12" eb="14">
      <t>ハッピョウ</t>
    </rPh>
    <phoneticPr fontId="18"/>
  </si>
  <si>
    <t>https://www.reuters.com/world/middle-east/iran-confirms-death-revolutionary-guards-navy-commander-tangsiri-statement-says-2026-03-30/</t>
  </si>
  <si>
    <t>ドイツ</t>
    <phoneticPr fontId="18"/>
  </si>
  <si>
    <t>ドイツ極右政党、ロシアとの関係修復を主張</t>
    <rPh sb="3" eb="7">
      <t>キョクウセイトウ</t>
    </rPh>
    <rPh sb="13" eb="17">
      <t>カンケイシュウフク</t>
    </rPh>
    <rPh sb="18" eb="20">
      <t>シュチョウ</t>
    </rPh>
    <phoneticPr fontId="18"/>
  </si>
  <si>
    <t>https://www.reuters.com/business/soaring-fuel-prices-drive-german-far-right-calls-turn-back-russia-2026-03-31/</t>
  </si>
  <si>
    <t>ウクライナとトルコの首脳会談</t>
    <rPh sb="10" eb="14">
      <t>シュノウカイダン</t>
    </rPh>
    <phoneticPr fontId="18"/>
  </si>
  <si>
    <t>トルコ</t>
    <phoneticPr fontId="18"/>
  </si>
  <si>
    <t>https://www.reuters.com/business/aerospace-defense/zelenskiy-arrives-istanbul-talks-with-erdogan-2026-04-04/</t>
  </si>
  <si>
    <t>伊メローニ首相の中東訪問</t>
    <rPh sb="0" eb="1">
      <t>イ</t>
    </rPh>
    <rPh sb="5" eb="7">
      <t>シュショウ</t>
    </rPh>
    <rPh sb="8" eb="12">
      <t>チュウトウホウモン</t>
    </rPh>
    <phoneticPr fontId="18"/>
  </si>
  <si>
    <t>サウジアラビア</t>
    <phoneticPr fontId="18"/>
  </si>
  <si>
    <t>カタール</t>
    <phoneticPr fontId="18"/>
  </si>
  <si>
    <t>UAE</t>
    <phoneticPr fontId="18"/>
  </si>
  <si>
    <t>https://www.reuters.com/world/europe/italys-meloni-flies-gulf-region-energy-security-push-2026-04-03/</t>
  </si>
  <si>
    <t>韓国とフランスの首脳会談</t>
    <rPh sb="0" eb="2">
      <t>カンコク</t>
    </rPh>
    <rPh sb="8" eb="12">
      <t>シュノウカイダン</t>
    </rPh>
    <phoneticPr fontId="18"/>
  </si>
  <si>
    <t>https://www.reuters.com/world/asia-pacific/south-korea-france-upgrade-ties-strategic-partnership-blue-house-says-2026-04-03/</t>
  </si>
  <si>
    <t>ロ軍がハリコフへドローン攻撃を継続</t>
    <rPh sb="1" eb="2">
      <t>グン</t>
    </rPh>
    <rPh sb="12" eb="14">
      <t>コウゲキ</t>
    </rPh>
    <rPh sb="15" eb="17">
      <t>ケイゾク</t>
    </rPh>
    <phoneticPr fontId="18"/>
  </si>
  <si>
    <t>https://www.reuters.com/world/russian-forces-maintain-day-long-drone-barrage-ukraines-kharkiv-2026-04-02/</t>
  </si>
  <si>
    <t>ホルムズ海峡封鎖問題に40カ国が協議</t>
    <rPh sb="4" eb="6">
      <t>カイキョウ</t>
    </rPh>
    <rPh sb="6" eb="8">
      <t>フウサ</t>
    </rPh>
    <rPh sb="8" eb="10">
      <t>モンダイ</t>
    </rPh>
    <rPh sb="14" eb="15">
      <t>コク</t>
    </rPh>
    <rPh sb="16" eb="18">
      <t>キョウギ</t>
    </rPh>
    <phoneticPr fontId="18"/>
  </si>
  <si>
    <t>https://www.reuters.com/business/energy/dozens-countries-discuss-coalition-secure-passage-through-strait-hormuz-2026-04-02/</t>
  </si>
  <si>
    <t>米トランプ大統領がNATO脱退を仄めかす</t>
    <rPh sb="0" eb="1">
      <t>ベイ</t>
    </rPh>
    <rPh sb="5" eb="8">
      <t>ダイトウリョウ</t>
    </rPh>
    <rPh sb="13" eb="15">
      <t>ダッタイ</t>
    </rPh>
    <rPh sb="16" eb="17">
      <t>ホノ</t>
    </rPh>
    <phoneticPr fontId="18"/>
  </si>
  <si>
    <t>https://www.reuters.com/business/aerospace-defense/trump-threatens-nato-exit-scaling-up-tensions-with-allies-2026-04-01/</t>
  </si>
  <si>
    <t>セルビア</t>
    <phoneticPr fontId="18"/>
  </si>
  <si>
    <t>セルビア首都での大規模抗議活動</t>
    <rPh sb="4" eb="6">
      <t>シュト</t>
    </rPh>
    <rPh sb="8" eb="13">
      <t>ダイキボコウギ</t>
    </rPh>
    <rPh sb="13" eb="15">
      <t>カツドウ</t>
    </rPh>
    <phoneticPr fontId="18"/>
  </si>
  <si>
    <t>https://www.reuters.com/world/serbian-students-protesters-clash-with-police-belgrade-2026-03-31/</t>
  </si>
  <si>
    <t>イラン政府が反体制派関係者2名を処刑と発表</t>
    <rPh sb="3" eb="5">
      <t>セイフ</t>
    </rPh>
    <rPh sb="6" eb="13">
      <t>ハンタイセイハカンケイシャ</t>
    </rPh>
    <rPh sb="14" eb="15">
      <t>メイ</t>
    </rPh>
    <rPh sb="16" eb="18">
      <t>ショケイ</t>
    </rPh>
    <rPh sb="19" eb="21">
      <t>ハッピョウ</t>
    </rPh>
    <phoneticPr fontId="18"/>
  </si>
  <si>
    <t>https://www.reuters.com/world/middle-east/iran-executes-two-linked-opposition-group-media-say-2026-04-04/</t>
  </si>
  <si>
    <t>インド</t>
    <phoneticPr fontId="18"/>
  </si>
  <si>
    <t>インドが約7年ぶりにイラン産原油を調達</t>
    <rPh sb="4" eb="5">
      <t>ヤク</t>
    </rPh>
    <rPh sb="6" eb="7">
      <t>ネン</t>
    </rPh>
    <rPh sb="13" eb="16">
      <t>サンゲンユ</t>
    </rPh>
    <rPh sb="17" eb="19">
      <t>チョウタツ</t>
    </rPh>
    <phoneticPr fontId="18"/>
  </si>
  <si>
    <t>https://www.reuters.com/business/energy/india-says-crude-oil-supplies-secured-no-payment-issues-iran-imports-2026-04-04/</t>
  </si>
  <si>
    <t>ロシアとトルコ首脳の電話会談</t>
    <rPh sb="7" eb="9">
      <t>シュノウ</t>
    </rPh>
    <rPh sb="10" eb="14">
      <t>デンワカイダン</t>
    </rPh>
    <phoneticPr fontId="18"/>
  </si>
  <si>
    <t>https://www.reuters.com/world/middle-east/putin-holds-call-with-turkeys-erdogan-discuss-middle-east-2026-04-03/</t>
  </si>
  <si>
    <t>日本</t>
    <rPh sb="0" eb="2">
      <t>ニホン</t>
    </rPh>
    <phoneticPr fontId="18"/>
  </si>
  <si>
    <t>オマーン</t>
    <phoneticPr fontId="18"/>
  </si>
  <si>
    <t>https://www.reuters.com/business/energy/japanese-owned-lng-tanker-crosses-strait-hormuz-2026-04-03/</t>
  </si>
  <si>
    <t>イスラエル空爆でヒズボラ最高司令官が死亡</t>
    <rPh sb="5" eb="7">
      <t>クウバク</t>
    </rPh>
    <rPh sb="12" eb="14">
      <t>サイコウ</t>
    </rPh>
    <rPh sb="14" eb="17">
      <t>シレイカン</t>
    </rPh>
    <rPh sb="18" eb="20">
      <t>シボウ</t>
    </rPh>
    <phoneticPr fontId="18"/>
  </si>
  <si>
    <t>https://www.reuters.com/world/middle-east/israeli-military-says-strike-beirut-killed-hezbollah-southern-front-commander-2026-04-01/</t>
  </si>
  <si>
    <t>シリア暫定大統領がイラン紛争不干渉を表明</t>
    <rPh sb="3" eb="8">
      <t>ザンテイダイトウリョウ</t>
    </rPh>
    <rPh sb="12" eb="14">
      <t>フンソウ</t>
    </rPh>
    <rPh sb="14" eb="17">
      <t>フカンショウ</t>
    </rPh>
    <rPh sb="18" eb="20">
      <t>ヒョウメイ</t>
    </rPh>
    <phoneticPr fontId="18"/>
  </si>
  <si>
    <t>https://www.reuters.com/world/europe/syria-will-stay-out-iran-conflict-unless-it-faces-aggression-president-says-2026-03-31/</t>
  </si>
  <si>
    <t>アルゼンチン</t>
    <phoneticPr fontId="18"/>
  </si>
  <si>
    <t>アルゼンチンがイラン革命防衛隊をテロ組織に指定</t>
    <rPh sb="10" eb="15">
      <t>カクメイボウエイタイ</t>
    </rPh>
    <rPh sb="18" eb="20">
      <t>ソシキ</t>
    </rPh>
    <rPh sb="21" eb="23">
      <t>シテイ</t>
    </rPh>
    <phoneticPr fontId="18"/>
  </si>
  <si>
    <t>https://www.reuters.com/world/middle-east/argentina-designates-irans-irgc-terrorist-organization-aligning-with-us-2026-04-01/</t>
  </si>
  <si>
    <t>ブルキナファソ</t>
    <phoneticPr fontId="18"/>
  </si>
  <si>
    <t>ブルキナファソ軍による民間人犠牲増報告</t>
    <rPh sb="17" eb="19">
      <t>ホウコク</t>
    </rPh>
    <phoneticPr fontId="18"/>
  </si>
  <si>
    <t>マリ</t>
    <phoneticPr fontId="18"/>
  </si>
  <si>
    <t>https://www.reuters.com/world/africa/burkina-mali-troops-kill-more-civilians-than-jihadists-do-data-shows-2026-04-02/</t>
  </si>
  <si>
    <t>エチオピア</t>
    <phoneticPr fontId="18"/>
  </si>
  <si>
    <t>エチオピアと中国が債務問題で合意</t>
    <rPh sb="11" eb="13">
      <t>モンダイ</t>
    </rPh>
    <rPh sb="14" eb="16">
      <t>ゴウイ</t>
    </rPh>
    <phoneticPr fontId="18"/>
  </si>
  <si>
    <t>中国</t>
    <rPh sb="0" eb="2">
      <t>チュウゴク</t>
    </rPh>
    <phoneticPr fontId="18"/>
  </si>
  <si>
    <t>経済</t>
  </si>
  <si>
    <t>https://www.reuters.com/world/africa/ethiopia-says-reaches-resolution-with-china-debt-treatment-2026-04-03/</t>
  </si>
  <si>
    <t>コンゴ民主共和国</t>
    <rPh sb="3" eb="8">
      <t>ミンシュキョウワコク</t>
    </rPh>
    <phoneticPr fontId="18"/>
  </si>
  <si>
    <t>DRコンゴ東部でIS系反乱が15人殺害</t>
    <rPh sb="5" eb="7">
      <t>トウブ</t>
    </rPh>
    <phoneticPr fontId="18"/>
  </si>
  <si>
    <t>地域情勢が不安定化</t>
  </si>
  <si>
    <t>https://www.reuters.com/world/africa/islamic-state-linked-rebels-kill-15-eastern-congo-officials-say-2026-04-02/</t>
  </si>
  <si>
    <t>アメリカがベネズエラ暫定大統領への制裁を解除</t>
    <rPh sb="10" eb="15">
      <t>ザンテイダイトウリョウ</t>
    </rPh>
    <rPh sb="17" eb="19">
      <t>セイサイ</t>
    </rPh>
    <rPh sb="20" eb="22">
      <t>カイジョ</t>
    </rPh>
    <phoneticPr fontId="18"/>
  </si>
  <si>
    <t>https://www.reuters.com/world/americas/us-lifts-sanctions-venezuelas-interim-president-2026-04-01/</t>
  </si>
  <si>
    <t>欧州連合</t>
    <rPh sb="0" eb="4">
      <t>オウシュウレンゴウ</t>
    </rPh>
    <phoneticPr fontId="18"/>
  </si>
  <si>
    <t>EUがキューバへ230万ドルを人道支援として拠出</t>
    <rPh sb="11" eb="12">
      <t>マン</t>
    </rPh>
    <rPh sb="15" eb="19">
      <t>ジンドウシエン</t>
    </rPh>
    <rPh sb="22" eb="24">
      <t>キョシュツ</t>
    </rPh>
    <phoneticPr fontId="18"/>
  </si>
  <si>
    <t>https://www.reuters.com/world/americas/eu-announces-further-23-million-humanitarian-aid-cuba-2026-04-01/</t>
  </si>
  <si>
    <t>中国がデジタルヒューマンへの規制を強化</t>
    <rPh sb="17" eb="19">
      <t>キョウカ</t>
    </rPh>
    <phoneticPr fontId="18"/>
  </si>
  <si>
    <t>https://www.reuters.com/world/china/china-moves-regulate-digital-humans-bans-addictive-services-children-2026-04-03/</t>
  </si>
  <si>
    <t>ニュージーランド</t>
    <phoneticPr fontId="18"/>
  </si>
  <si>
    <t>ニュージーランドとクック諸島が安全保障宣言に署名</t>
    <rPh sb="15" eb="19">
      <t>アンゼンホショウ</t>
    </rPh>
    <rPh sb="19" eb="21">
      <t>センゲン</t>
    </rPh>
    <rPh sb="22" eb="24">
      <t>ショメイ</t>
    </rPh>
    <phoneticPr fontId="18"/>
  </si>
  <si>
    <t>クック諸島</t>
    <rPh sb="3" eb="5">
      <t>ショトウ</t>
    </rPh>
    <phoneticPr fontId="18"/>
  </si>
  <si>
    <t>https://www.reuters.com/world/asia-pacific/new-zealand-cook-islands-sign-defence-security-declaration-2026-04-01/</t>
  </si>
  <si>
    <t>日本等3カ国の船舶がホルムズ海峡を通過</t>
    <rPh sb="0" eb="2">
      <t>ニホン</t>
    </rPh>
    <rPh sb="2" eb="3">
      <t>ナド</t>
    </rPh>
    <rPh sb="5" eb="6">
      <t>コク</t>
    </rPh>
    <rPh sb="7" eb="9">
      <t>センパク</t>
    </rPh>
    <rPh sb="14" eb="16">
      <t>カイキョウ</t>
    </rPh>
    <rPh sb="17" eb="19">
      <t>ツウカ</t>
    </rPh>
    <phoneticPr fontId="18"/>
  </si>
  <si>
    <t>中国</t>
    <rPh sb="0" eb="2">
      <t>チュウゴク</t>
    </rPh>
    <phoneticPr fontId="18"/>
  </si>
  <si>
    <t>中国、サプライチェーン確保のための新制度を発表</t>
    <rPh sb="0" eb="2">
      <t>チュウゴク</t>
    </rPh>
    <rPh sb="11" eb="13">
      <t>カクホ</t>
    </rPh>
    <rPh sb="17" eb="20">
      <t>シンセイド</t>
    </rPh>
    <rPh sb="21" eb="23">
      <t>ハッピョウ</t>
    </rPh>
    <phoneticPr fontId="18"/>
  </si>
  <si>
    <t>Bloomberg</t>
    <phoneticPr fontId="18"/>
  </si>
  <si>
    <t>https://www.bloomberg.com/news/articles/2026-04-07/china-issues-new-supply-chain-rules-targeting-foreign-disruption?srnd=phx-politics</t>
  </si>
  <si>
    <t>パキスタン</t>
    <phoneticPr fontId="18"/>
  </si>
  <si>
    <t>エジプト</t>
    <phoneticPr fontId="18"/>
  </si>
  <si>
    <t>イラン</t>
    <phoneticPr fontId="18"/>
  </si>
  <si>
    <t>アメリカ</t>
    <phoneticPr fontId="18"/>
  </si>
  <si>
    <t>首脳会談</t>
  </si>
  <si>
    <t>https://www.bloomberg.com/news/articles/2026-04-07/pakistan-egypt-step-up-diplomacy-as-trump-s-iran-deadline-looms?srnd=phx-politics</t>
  </si>
  <si>
    <t>ベトナム</t>
    <phoneticPr fontId="18"/>
  </si>
  <si>
    <t>ベトナムにてトラム氏が大統領に就任する</t>
    <phoneticPr fontId="18"/>
  </si>
  <si>
    <t>https://www.bloomberg.com/news/articles/2026-04-07/vietnam-s-to-lam-secures-presidency-tightening-grip-on-power?srnd=phx-politics</t>
  </si>
  <si>
    <t>コンゴ民主共和国</t>
    <rPh sb="3" eb="8">
      <t>ミンシュキョウワコク</t>
    </rPh>
    <phoneticPr fontId="18"/>
  </si>
  <si>
    <t>DRコンゴ、アメリカからの第三国移民受け入れへ</t>
    <rPh sb="13" eb="18">
      <t>ダイサンゴクイミン</t>
    </rPh>
    <rPh sb="18" eb="19">
      <t>ウ</t>
    </rPh>
    <rPh sb="20" eb="21">
      <t>イ</t>
    </rPh>
    <phoneticPr fontId="18"/>
  </si>
  <si>
    <t>https://www.bloomberg.com/news/articles/2026-04-05/congo-is-latest-country-to-take-third-country-deportees-from-us?srnd=phx-politics</t>
  </si>
  <si>
    <t>UAEの石油化学プラントがイランの攻撃を受ける</t>
    <rPh sb="4" eb="8">
      <t>セキユカガク</t>
    </rPh>
    <rPh sb="17" eb="19">
      <t>コウゲキ</t>
    </rPh>
    <rPh sb="20" eb="21">
      <t>ウ</t>
    </rPh>
    <phoneticPr fontId="18"/>
  </si>
  <si>
    <t>UAE</t>
    <phoneticPr fontId="18"/>
  </si>
  <si>
    <t>https://www.bloomberg.com/news/articles/2026-04-05/borouge-suspends-abu-dhabi-plant-operations-after-multiple-fires?srnd=phx-politics</t>
  </si>
  <si>
    <t>アメリカが故ソレイマニ将軍の姪を逮捕</t>
    <rPh sb="5" eb="6">
      <t>コ</t>
    </rPh>
    <phoneticPr fontId="18"/>
  </si>
  <si>
    <t>https://www.bloomberg.com/news/articles/2026-04-04/us-arrests-niece-of-late-iranian-general-soleimani?srnd=phx-politics</t>
  </si>
  <si>
    <t>ロシア</t>
    <phoneticPr fontId="18"/>
  </si>
  <si>
    <t>ロシア、国連安保理にてホルムズ海峡の航行再開に向けた動きを非難</t>
    <rPh sb="4" eb="9">
      <t>コクレンアンポリ</t>
    </rPh>
    <rPh sb="15" eb="17">
      <t>カイキョウ</t>
    </rPh>
    <rPh sb="18" eb="22">
      <t>コウコウサイカイ</t>
    </rPh>
    <rPh sb="23" eb="24">
      <t>ム</t>
    </rPh>
    <rPh sb="26" eb="27">
      <t>ウゴ</t>
    </rPh>
    <rPh sb="29" eb="31">
      <t>ヒナン</t>
    </rPh>
    <phoneticPr fontId="18"/>
  </si>
  <si>
    <t>https://www.bloomberg.com/news/articles/2026-04-03/russia-dismisses-push-at-un-to-force-open-the-strait-of-hormuz?srnd=phx-politics</t>
  </si>
  <si>
    <t>ミャンマー</t>
    <phoneticPr fontId="18"/>
  </si>
  <si>
    <t>ミャンマーの大統領選挙</t>
    <rPh sb="6" eb="11">
      <t>ダイトウリョウセンキョ</t>
    </rPh>
    <phoneticPr fontId="18"/>
  </si>
  <si>
    <t>https://www.bloomberg.com/news/articles/2026-04-03/myanmar-junta-retains-power-after-its-chief-wins-the-presidency?srnd=phx-politics</t>
  </si>
  <si>
    <t>インド</t>
    <phoneticPr fontId="18"/>
  </si>
  <si>
    <t>インド、英国主導のホルムズ海峡再開に向けた協議へ参加表明</t>
    <rPh sb="4" eb="6">
      <t>エイコク</t>
    </rPh>
    <rPh sb="6" eb="8">
      <t>シュドウ</t>
    </rPh>
    <rPh sb="13" eb="15">
      <t>カイキョウ</t>
    </rPh>
    <rPh sb="15" eb="17">
      <t>サイカイ</t>
    </rPh>
    <rPh sb="18" eb="19">
      <t>ム</t>
    </rPh>
    <rPh sb="21" eb="23">
      <t>キョウギ</t>
    </rPh>
    <rPh sb="24" eb="26">
      <t>サンカ</t>
    </rPh>
    <rPh sb="26" eb="28">
      <t>ヒョウメイ</t>
    </rPh>
    <phoneticPr fontId="18"/>
  </si>
  <si>
    <t>イギリス</t>
    <phoneticPr fontId="18"/>
  </si>
  <si>
    <t>https://www.bloomberg.com/news/articles/2026-04-02/india-to-participate-in-uk-led-initiative-to-reopen-hormuz?srnd=phx-politics</t>
  </si>
  <si>
    <t>ロシアがマダガスカル軍への武器供給強化と報道</t>
    <rPh sb="10" eb="11">
      <t>グン</t>
    </rPh>
    <rPh sb="13" eb="19">
      <t>ブキキョウキュウキョウカ</t>
    </rPh>
    <rPh sb="20" eb="22">
      <t>ホウドウ</t>
    </rPh>
    <phoneticPr fontId="18"/>
  </si>
  <si>
    <t>マダガスカル</t>
    <phoneticPr fontId="18"/>
  </si>
  <si>
    <t>https://www.bloomberg.com/news/articles/2026-04-02/russia-steps-up-arms-supplies-to-madagascar-s-military?srnd=phx-politics</t>
  </si>
  <si>
    <t>南スーダン</t>
    <rPh sb="0" eb="1">
      <t>ミナミ</t>
    </rPh>
    <phoneticPr fontId="18"/>
  </si>
  <si>
    <t>南スーダンにて国会議長と副議長が解任される</t>
    <rPh sb="0" eb="1">
      <t>ミナミ</t>
    </rPh>
    <rPh sb="7" eb="11">
      <t>コッカイギチョウ</t>
    </rPh>
    <rPh sb="12" eb="15">
      <t>フクギチョウ</t>
    </rPh>
    <rPh sb="16" eb="18">
      <t>カイニン</t>
    </rPh>
    <phoneticPr fontId="18"/>
  </si>
  <si>
    <t>Reuters</t>
    <phoneticPr fontId="18"/>
  </si>
  <si>
    <t>https://www.reuters.com/world/africa/south-sudans-kiir-sacks-parliament-speaker-deputy-2026-04-07/</t>
  </si>
  <si>
    <t>チャド</t>
    <phoneticPr fontId="18"/>
  </si>
  <si>
    <t>チャドの先遣隊と国連の支援部隊がハイチに到着</t>
    <rPh sb="4" eb="7">
      <t>センケンタイ</t>
    </rPh>
    <rPh sb="8" eb="10">
      <t>コクレン</t>
    </rPh>
    <rPh sb="11" eb="15">
      <t>シエンブタイ</t>
    </rPh>
    <rPh sb="20" eb="22">
      <t>トウチャク</t>
    </rPh>
    <phoneticPr fontId="18"/>
  </si>
  <si>
    <t>ハイチ</t>
    <phoneticPr fontId="18"/>
  </si>
  <si>
    <t>https://www.reuters.com/world/americas/chadian-forces-arrive-haiti-fight-gangs-part-new-un-backed-force-2026-04-01/</t>
  </si>
  <si>
    <t>アフガニスタン</t>
    <phoneticPr fontId="18"/>
  </si>
  <si>
    <t>アフガニスタンの地震被害</t>
    <rPh sb="8" eb="12">
      <t>ジシンヒガイ</t>
    </rPh>
    <phoneticPr fontId="18"/>
  </si>
  <si>
    <t>https://www.reuters.com/business/environment/earthquake-magnitude-59-strikes-afghanistans-hindu-kush-region-gfz-says-2026-04-03/</t>
  </si>
  <si>
    <t>ギリシャ</t>
    <phoneticPr fontId="18"/>
  </si>
  <si>
    <t>ギリシャが内閣改造を実施</t>
    <rPh sb="5" eb="9">
      <t>ナイカクカイゾウ</t>
    </rPh>
    <rPh sb="10" eb="12">
      <t>ジッシ</t>
    </rPh>
    <phoneticPr fontId="18"/>
  </si>
  <si>
    <t>https://www.reuters.com/business/finance/greek-pm-reshuffle-cabinet-amid-farm-fraud-scandal-over-eu-aid-2026-04-03/</t>
  </si>
  <si>
    <t>ウクライナ</t>
    <phoneticPr fontId="18"/>
  </si>
  <si>
    <t>ウクライナのドローン攻撃でロシアの製油所に被害</t>
    <rPh sb="10" eb="12">
      <t>コウゲキ</t>
    </rPh>
    <rPh sb="17" eb="20">
      <t>セイユジョ</t>
    </rPh>
    <rPh sb="21" eb="23">
      <t>ヒガイ</t>
    </rPh>
    <phoneticPr fontId="18"/>
  </si>
  <si>
    <t>https://www.reuters.com/world/oil-pipeline-russias-primorsk-damaged-drone-attack-governor-says-2026-04-05/</t>
  </si>
  <si>
    <t>イランがサウジアラビアの石油コンビナートを攻撃</t>
    <rPh sb="12" eb="14">
      <t>セキユ</t>
    </rPh>
    <rPh sb="21" eb="23">
      <t>コウゲキ</t>
    </rPh>
    <phoneticPr fontId="18"/>
  </si>
  <si>
    <t>サウジアラビア</t>
    <phoneticPr fontId="18"/>
  </si>
  <si>
    <t>https://www.reuters.com/world/middle-east/iran-has-attacked-saudi-petrochemical-complex-jubail-fars-news-agency-says-2026-04-07/</t>
  </si>
  <si>
    <t>アメリカがイランのハルグ島を攻撃</t>
    <rPh sb="12" eb="13">
      <t>シマ</t>
    </rPh>
    <rPh sb="14" eb="16">
      <t>コウゲキ</t>
    </rPh>
    <phoneticPr fontId="18"/>
  </si>
  <si>
    <t>https://www.reuters.com/world/middle-east/us-strikes-military-targets-irans-kharg-island-us-official-says-2026-04-07/</t>
  </si>
  <si>
    <t>イラン革命防衛隊情報部門トップが死亡</t>
    <rPh sb="3" eb="12">
      <t>カクメイボウエイタイジョウホウブモン</t>
    </rPh>
    <rPh sb="16" eb="18">
      <t>シボウ</t>
    </rPh>
    <phoneticPr fontId="18"/>
  </si>
  <si>
    <t>https://www.reuters.com/world/head-irans-revolutionary-guards-intelligence-organisation-announced-dead-state-2026-04-06/</t>
  </si>
  <si>
    <t>イラン、アメリカによる停戦案を拒否</t>
    <rPh sb="11" eb="14">
      <t>テイセンアン</t>
    </rPh>
    <rPh sb="15" eb="17">
      <t>キョヒ</t>
    </rPh>
    <phoneticPr fontId="18"/>
  </si>
  <si>
    <t>https://www.reuters.com/world/iran-rejects-ceasefire-response-proposals-emphasises-need-permanent-end-war-irna-2026-04-06/</t>
  </si>
  <si>
    <t>ウクライナとシリアの首脳会談</t>
    <rPh sb="10" eb="14">
      <t>シュノウカイダン</t>
    </rPh>
    <phoneticPr fontId="18"/>
  </si>
  <si>
    <t>シリア</t>
    <phoneticPr fontId="18"/>
  </si>
  <si>
    <t>https://www.reuters.com/world/middle-east/zelenskiy-syria-meet-president-sharaa-sources-say-2026-04-05/</t>
  </si>
  <si>
    <t>イラン副外相、ホルムズ海峡通過には許可が必要と発言</t>
    <rPh sb="3" eb="6">
      <t>フクガイショウ</t>
    </rPh>
    <rPh sb="11" eb="13">
      <t>カイキョウ</t>
    </rPh>
    <rPh sb="13" eb="15">
      <t>ツウカ</t>
    </rPh>
    <rPh sb="17" eb="19">
      <t>キョカ</t>
    </rPh>
    <rPh sb="20" eb="22">
      <t>ヒツヨウ</t>
    </rPh>
    <rPh sb="23" eb="25">
      <t>ハツゲン</t>
    </rPh>
    <phoneticPr fontId="18"/>
  </si>
  <si>
    <t>アメリカとイランが2週間の停戦に合意</t>
    <rPh sb="10" eb="12">
      <t>シュウカン</t>
    </rPh>
    <rPh sb="13" eb="15">
      <t>テイセン</t>
    </rPh>
    <rPh sb="16" eb="18">
      <t>ゴウイ</t>
    </rPh>
    <phoneticPr fontId="18"/>
  </si>
  <si>
    <t>イギリスが米イラン停戦合意対象にレバノンを含めるよう要請</t>
    <rPh sb="5" eb="6">
      <t>ベイ</t>
    </rPh>
    <rPh sb="9" eb="13">
      <t>テイセンゴウイ</t>
    </rPh>
    <rPh sb="13" eb="15">
      <t>タイショウ</t>
    </rPh>
    <rPh sb="21" eb="22">
      <t>フク</t>
    </rPh>
    <rPh sb="26" eb="28">
      <t>ヨウセイ</t>
    </rPh>
    <phoneticPr fontId="18"/>
  </si>
  <si>
    <t>イスラエルがレバノンへの大規模攻撃を実施</t>
    <rPh sb="12" eb="17">
      <t>ダイキボコウゲキ</t>
    </rPh>
    <rPh sb="18" eb="20">
      <t>ジッシ</t>
    </rPh>
    <phoneticPr fontId="18"/>
  </si>
  <si>
    <t>日本とイラン首脳の電話会談</t>
    <rPh sb="0" eb="2">
      <t>ニホン</t>
    </rPh>
    <rPh sb="6" eb="8">
      <t>シュノウ</t>
    </rPh>
    <rPh sb="9" eb="13">
      <t>デンワカイダン</t>
    </rPh>
    <phoneticPr fontId="18"/>
  </si>
  <si>
    <t>マダガスカルにて非常事態宣言が発令</t>
    <rPh sb="8" eb="14">
      <t>ヒジョウジタイセンゲン</t>
    </rPh>
    <rPh sb="15" eb="17">
      <t>ハツレイ</t>
    </rPh>
    <phoneticPr fontId="18"/>
  </si>
  <si>
    <t>中ロが国連安保理のホルムズ海峡に関する決議案に拒否権を行使</t>
    <rPh sb="0" eb="1">
      <t>チュウ</t>
    </rPh>
    <rPh sb="3" eb="8">
      <t>コクレンアンポリ</t>
    </rPh>
    <rPh sb="13" eb="15">
      <t>カイキョウ</t>
    </rPh>
    <rPh sb="16" eb="17">
      <t>カン</t>
    </rPh>
    <rPh sb="19" eb="22">
      <t>ケツギアン</t>
    </rPh>
    <rPh sb="23" eb="26">
      <t>キョヒケン</t>
    </rPh>
    <rPh sb="27" eb="29">
      <t>コウシ</t>
    </rPh>
    <phoneticPr fontId="18"/>
  </si>
  <si>
    <t>メキシコにて新たな外務大臣が任命される</t>
    <rPh sb="6" eb="7">
      <t>アラ</t>
    </rPh>
    <rPh sb="9" eb="13">
      <t>ガイムダイジン</t>
    </rPh>
    <rPh sb="14" eb="16">
      <t>ニンメイ</t>
    </rPh>
    <phoneticPr fontId="18"/>
  </si>
  <si>
    <t>パラグアイにて新たな財務大臣が任命される</t>
    <rPh sb="7" eb="8">
      <t>アラ</t>
    </rPh>
    <rPh sb="10" eb="14">
      <t>ザイムダイジン</t>
    </rPh>
    <rPh sb="15" eb="17">
      <t>ニンメイ</t>
    </rPh>
    <phoneticPr fontId="18"/>
  </si>
  <si>
    <t>北朝鮮</t>
    <rPh sb="0" eb="3">
      <t>キタチョウセン</t>
    </rPh>
    <phoneticPr fontId="18"/>
  </si>
  <si>
    <t>北朝鮮が複数の弾道ミサイルを発射</t>
    <rPh sb="4" eb="6">
      <t>フクスウ</t>
    </rPh>
    <rPh sb="7" eb="9">
      <t>ダンドウ</t>
    </rPh>
    <phoneticPr fontId="18"/>
  </si>
  <si>
    <t>アフガニスタンとパキスタンの和平協議</t>
    <rPh sb="14" eb="18">
      <t>ワヘイキョウギ</t>
    </rPh>
    <phoneticPr fontId="18"/>
  </si>
  <si>
    <t>https://www.bloomberg.com/news/articles/2026-04-09/iran-deputy-minister-says-ships-need-army-consent-to-pass-hormuz?srnd=phx-politics</t>
  </si>
  <si>
    <t>https://www.bloomberg.com/news/articles/2026-04-09/uk-warns-russian-subs-to-stay-away-after-month-long-incursion?srnd=phx-politics</t>
  </si>
  <si>
    <t>https://www.bloomberg.com/news/articles/2026-04-08/us-iran-ceasefire-what-s-been-agreed-will-the-strait-of-hormuz-reopen?srnd=phx-politics</t>
  </si>
  <si>
    <t>https://www.bloomberg.com/news/articles/2026-04-09/uk-to-urge-lebanon-s-inclusion-in-ceasefire-between-us-and-iran?srnd=phx-politics</t>
  </si>
  <si>
    <t>https://www.bloomberg.com/news/articles/2026-04-08/israel-intensifies-lebanon-strikes-with-ceasefire-deal-in-doubt?srnd=phx-politics</t>
  </si>
  <si>
    <t>https://www.bloomberg.com/news/articles/2026-04-08/japan-s-pm-takaichi-speaks-with-iran-s-pezeshkian-reports-say?srnd=phx-politics</t>
  </si>
  <si>
    <t>https://www.bloomberg.com/news/articles/2026-04-08/madagascar-declares-state-of-emergency-over-energy-supply-woes?srnd=phx-politics</t>
  </si>
  <si>
    <t>https://www.bloomberg.com/news/articles/2026-04-07/china-and-russia-veto-security-council-resolution-on-hormuz?srnd=phx-politics</t>
  </si>
  <si>
    <t>https://www.reuters.com/world/americas/mexico-senate-confirms-north-america-diplomat-velasco-foreign-minister-2026-04-08/</t>
  </si>
  <si>
    <t>https://www.reuters.com/world/americas/paraguay-president-taps-oscar-lovera-economy-minister-2026-04-08/</t>
  </si>
  <si>
    <t>https://www.reuters.com/world/asia-pacific/north-korea-says-south-koreas-true-colours-enemy-state-unchanged-dashing-seouls-2026-04-07/</t>
  </si>
  <si>
    <t>https://www.reuters.com/world/china/china-says-afghanistan-pakistan-agree-explore-comprehensive-solution-peace-talks-2026-04-08/</t>
  </si>
  <si>
    <t>ブラジル</t>
    <phoneticPr fontId="18"/>
  </si>
  <si>
    <t>ブラジルとアメリカ、共同組織犯罪対策で一致</t>
    <rPh sb="19" eb="21">
      <t>イッチ</t>
    </rPh>
    <phoneticPr fontId="18"/>
  </si>
  <si>
    <t>ブラジルとアメリカが税務データ連携、武器・薬物密輸を摘発へ</t>
    <phoneticPr fontId="18"/>
  </si>
  <si>
    <t>エクアドル</t>
    <phoneticPr fontId="18"/>
  </si>
  <si>
    <t>エクアドルがコロンビアへ関税100％引き上げを通達</t>
    <rPh sb="12" eb="14">
      <t>カンゼイ</t>
    </rPh>
    <rPh sb="18" eb="19">
      <t>ヒ</t>
    </rPh>
    <rPh sb="20" eb="21">
      <t>ア</t>
    </rPh>
    <rPh sb="23" eb="25">
      <t>ツウタツ</t>
    </rPh>
    <phoneticPr fontId="18"/>
  </si>
  <si>
    <t>コロンビアからの輸入関税を5月1日から100％に引上げ、通商関係が一段と悪化</t>
    <phoneticPr fontId="18"/>
  </si>
  <si>
    <t>コロンビア</t>
    <phoneticPr fontId="18"/>
  </si>
  <si>
    <t>ベネズエラにて新たな検事総長が就任</t>
    <rPh sb="7" eb="8">
      <t>アラ</t>
    </rPh>
    <rPh sb="10" eb="14">
      <t>ケンジソウチョウ</t>
    </rPh>
    <rPh sb="15" eb="17">
      <t>シュウニン</t>
    </rPh>
    <phoneticPr fontId="18"/>
  </si>
  <si>
    <t>ロドリゲス大統領代行の盟友、デボエ氏が検事総長に承認</t>
    <rPh sb="17" eb="18">
      <t>ウジ</t>
    </rPh>
    <phoneticPr fontId="18"/>
  </si>
  <si>
    <t>ベネズエラが鉱業法を可決</t>
    <rPh sb="6" eb="9">
      <t>コウギョウホウ</t>
    </rPh>
    <rPh sb="10" eb="12">
      <t>カケツ</t>
    </rPh>
    <phoneticPr fontId="18"/>
  </si>
  <si>
    <t>外資参入を認め、金や戦略鉱物を民間・外資に開放</t>
    <phoneticPr fontId="18"/>
  </si>
  <si>
    <t>ベネズエラ暫定大統領のグレナダ訪問</t>
    <rPh sb="5" eb="10">
      <t>ザンテイダイトウリョウ</t>
    </rPh>
    <rPh sb="15" eb="17">
      <t>ホウモン</t>
    </rPh>
    <phoneticPr fontId="18"/>
  </si>
  <si>
    <t>グレナダ</t>
    <phoneticPr fontId="18"/>
  </si>
  <si>
    <t>中国外相の北朝鮮訪問</t>
    <rPh sb="0" eb="4">
      <t>チュウゴクガイショウ</t>
    </rPh>
    <rPh sb="5" eb="10">
      <t>キタチョウセンホウモン</t>
    </rPh>
    <phoneticPr fontId="18"/>
  </si>
  <si>
    <t>金総書記との会談で両国交流と連携の強化を確認</t>
    <rPh sb="0" eb="1">
      <t>キン</t>
    </rPh>
    <rPh sb="1" eb="4">
      <t>ソウショキ</t>
    </rPh>
    <rPh sb="6" eb="8">
      <t>カイダン</t>
    </rPh>
    <rPh sb="9" eb="11">
      <t>リョウコク</t>
    </rPh>
    <rPh sb="17" eb="19">
      <t>キョウカ</t>
    </rPh>
    <rPh sb="20" eb="22">
      <t>カクニン</t>
    </rPh>
    <phoneticPr fontId="18"/>
  </si>
  <si>
    <t>オーストラリア</t>
    <phoneticPr fontId="18"/>
  </si>
  <si>
    <t>豪・シンガポールの首脳会談</t>
    <rPh sb="0" eb="1">
      <t>ゴウ</t>
    </rPh>
    <rPh sb="9" eb="13">
      <t>シュノウカイダン</t>
    </rPh>
    <phoneticPr fontId="18"/>
  </si>
  <si>
    <t>燃料供給の連携強化と中東情勢について協議</t>
    <rPh sb="10" eb="14">
      <t>チュウトウジョウセイ</t>
    </rPh>
    <rPh sb="18" eb="20">
      <t>キョウギ</t>
    </rPh>
    <phoneticPr fontId="18"/>
  </si>
  <si>
    <t>シンガポール</t>
    <phoneticPr fontId="18"/>
  </si>
  <si>
    <t>ネタニヤフ首相の汚職裁判再開へ</t>
    <rPh sb="5" eb="7">
      <t>シュショウ</t>
    </rPh>
    <rPh sb="8" eb="14">
      <t>オショクサイバンサイカイ</t>
    </rPh>
    <phoneticPr fontId="18"/>
  </si>
  <si>
    <t>イランへの攻撃停止で非常事態宣言の解除を受け。ネタニヤフ首相は再開延長を要請</t>
    <rPh sb="14" eb="16">
      <t>センゲン</t>
    </rPh>
    <rPh sb="17" eb="19">
      <t>カイジョ</t>
    </rPh>
    <rPh sb="20" eb="21">
      <t>ウ</t>
    </rPh>
    <rPh sb="28" eb="30">
      <t>シュショウ</t>
    </rPh>
    <rPh sb="31" eb="33">
      <t>サイカイ</t>
    </rPh>
    <rPh sb="33" eb="35">
      <t>エンチョウ</t>
    </rPh>
    <rPh sb="36" eb="38">
      <t>ヨウセイ</t>
    </rPh>
    <phoneticPr fontId="18"/>
  </si>
  <si>
    <t>イスラエル内閣がヨルダン川西岸への入植地拡大を承認</t>
    <rPh sb="5" eb="7">
      <t>ナイカク</t>
    </rPh>
    <rPh sb="12" eb="15">
      <t>ガワセイガン</t>
    </rPh>
    <phoneticPr fontId="18"/>
  </si>
  <si>
    <t>ヨルダン川西岸で34の新入植地が承認される</t>
    <phoneticPr fontId="18"/>
  </si>
  <si>
    <t>日本企業の投資リスク増、資金洗浄への監視が強化</t>
    <phoneticPr fontId="18"/>
  </si>
  <si>
    <t>https://www.reuters.com/world/americas/brazil-us-launch-joint-action-fight-organized-crime-brazil-says-2026-04-10/</t>
  </si>
  <si>
    <t>サプライチェーンの混乱で海運・資源調達のコスト上昇が懸念</t>
    <phoneticPr fontId="18"/>
  </si>
  <si>
    <t>https://www.reuters.com/world/americas/ecuador-raises-tariffs-colombia-100-50-2026-04-09/</t>
  </si>
  <si>
    <t>同国の政情不安・投資・取引リスク増が危惧</t>
    <rPh sb="0" eb="2">
      <t>ドウコク</t>
    </rPh>
    <rPh sb="18" eb="20">
      <t>キグ</t>
    </rPh>
    <phoneticPr fontId="18"/>
  </si>
  <si>
    <t>https://www.reuters.com/world/americas/venezuela-lawmakers-confirm-devoe-new-attorney-general-2026-04-09/</t>
  </si>
  <si>
    <t>希少資源調達の新たな機会</t>
    <phoneticPr fontId="18"/>
  </si>
  <si>
    <t>https://www.bloomberg.com/news/articles/2026-04-09/venezuela-passes-mining-law-as-rodriguez-courts-investment?srnd=phx-politics</t>
  </si>
  <si>
    <t>https://www.reuters.com/world/americas/venezuelas-acting-president-rodriguez-grenada-first-foreign-visit-2026-04-09/</t>
  </si>
  <si>
    <t>日本の安全保障と外交調整に影響、地域の緊張増大の懸念</t>
    <rPh sb="16" eb="18">
      <t>チイキ</t>
    </rPh>
    <rPh sb="21" eb="23">
      <t>ゾウダイ</t>
    </rPh>
    <phoneticPr fontId="18"/>
  </si>
  <si>
    <t>https://www.reuters.com/world/china/foreign-minister-says-china-is-willing-strengthen-exchanges-with-north-korea-2026-04-10/</t>
  </si>
  <si>
    <t>燃料供給の安定により海上物流リスク減少の可能性</t>
    <rPh sb="2" eb="4">
      <t>キョウキュウ</t>
    </rPh>
    <rPh sb="5" eb="7">
      <t>アンテイ</t>
    </rPh>
    <phoneticPr fontId="18"/>
  </si>
  <si>
    <t>https://www.reuters.com/business/energy/australia-pm-singapore-he-seeks-secure-fuel-supplies-regional-allies-2026-04-10/</t>
  </si>
  <si>
    <t>停戦の不安定化で海運とエネルギー供給の趨勢が懸念</t>
    <rPh sb="19" eb="21">
      <t>スウセイ</t>
    </rPh>
    <rPh sb="22" eb="24">
      <t>ケネン</t>
    </rPh>
    <phoneticPr fontId="18"/>
  </si>
  <si>
    <t>https://www.reuters.com/world/middle-east/halt-iran-attacks-means-netanyahus-corruption-trial-will-resume-sunday-2026-04-09/</t>
  </si>
  <si>
    <t>地域緊張の長期化で海運・エネルギー供給への波及が危惧</t>
    <rPh sb="21" eb="23">
      <t>ハキュウ</t>
    </rPh>
    <rPh sb="24" eb="26">
      <t>キグ</t>
    </rPh>
    <phoneticPr fontId="18"/>
  </si>
  <si>
    <t>https://www.reuters.com/world/middle-east/israel-approves-dozens-new-settlements-west-bank-watchdog-says-2026-04-09/</t>
  </si>
  <si>
    <t>イギリスがロシア潜水艦に対し接近禁止を警告</t>
    <rPh sb="8" eb="11">
      <t>センスイカン</t>
    </rPh>
    <rPh sb="12" eb="13">
      <t>タイ</t>
    </rPh>
    <rPh sb="14" eb="18">
      <t>セッキンキンシ</t>
    </rPh>
    <rPh sb="19" eb="21">
      <t>ケイコク</t>
    </rPh>
    <phoneticPr fontId="18"/>
  </si>
  <si>
    <t>ベナン</t>
    <phoneticPr fontId="18"/>
  </si>
  <si>
    <t>ワダグニ財務相が94%で大統領選挙に圧勝</t>
    <rPh sb="12" eb="17">
      <t>ダイトウリョウセンキョ</t>
    </rPh>
    <phoneticPr fontId="18"/>
  </si>
  <si>
    <t>ベナンの大統領選挙でワダグニ財務相が暫定得票94%以上の圧勝を確実にし、独立選挙委員会は90%以上の票が集計済みと報告した。野党候補が敗北は認めており、投票率は58.78%だった。</t>
    <rPh sb="4" eb="9">
      <t>ダイトウリョウセンキョ</t>
    </rPh>
    <rPh sb="64" eb="66">
      <t>コウホ</t>
    </rPh>
    <rPh sb="70" eb="71">
      <t>ミト</t>
    </rPh>
    <phoneticPr fontId="18"/>
  </si>
  <si>
    <t>政権継続で経済政策は安定しやすい一方、圧勝の規模は選挙の正当性や国際的評価に影響を与え、日本の対ベナン投資・協力にも不確実性をもたらす。</t>
    <phoneticPr fontId="18"/>
  </si>
  <si>
    <t>https://www.reuters.com/world/africa/benins-finance-minister-wadagni-wins-presidential-election-with-94-landslide-2026-04-13/</t>
    <phoneticPr fontId="18"/>
  </si>
  <si>
    <t>スーダン</t>
    <phoneticPr fontId="18"/>
  </si>
  <si>
    <t>スーダンのダルフールでドローン攻撃、民間人死傷</t>
    <phoneticPr fontId="18"/>
  </si>
  <si>
    <t>国境なき医師団は、ダルフールでスーダン軍による５件のドローン攻撃で２人が死亡、５６人が負傷したと発表。国連やユニセフは子どもを含む民間被害の急増を警告している。</t>
    <phoneticPr fontId="18"/>
  </si>
  <si>
    <t>民間人と子どもの被害増は人道危機と地域不安を深刻化させるリスクが高い。</t>
    <rPh sb="32" eb="33">
      <t>タカ</t>
    </rPh>
    <phoneticPr fontId="18"/>
  </si>
  <si>
    <t>https://www.reuters.com/world/africa/drone-attacks-sudan-kill-two-injure-56-msf-says-2026-04-14/</t>
  </si>
  <si>
    <t>ボツワナ</t>
    <phoneticPr fontId="18"/>
  </si>
  <si>
    <t>ボツワナ、オマーンと資源・エネルギー協定を締結</t>
    <rPh sb="21" eb="23">
      <t>テイケツ</t>
    </rPh>
    <phoneticPr fontId="18"/>
  </si>
  <si>
    <t>ボツワナがオマーンと複数の協定を締結。領土の約70％を対象とする鉱物探査、最低25年稼働の500MW太陽光発電所、ナミビアのウォルビスベイを含む石油貯蔵整備などを盛り込む。</t>
    <phoneticPr fontId="18"/>
  </si>
  <si>
    <t>鉱物開発と再生可能エネルギー投資で収益源が多様化し、エネルギー・資源供給の安定化が進む。日本企業の資源確保や投資機会の拡大につながる可能性がある。</t>
    <phoneticPr fontId="18"/>
  </si>
  <si>
    <t>https://www.reuters.com/sustainability/climate-energy/botswana-signs-energy-mineral-exploration-deals-with-oman-2026-04-13/</t>
  </si>
  <si>
    <t>南アフリカ</t>
    <rPh sb="0" eb="1">
      <t>ミナミ</t>
    </rPh>
    <phoneticPr fontId="18"/>
  </si>
  <si>
    <t>南ア、ドイツと気候変動対策と鉱物資源協力で合意</t>
    <rPh sb="9" eb="11">
      <t>ヘンドウ</t>
    </rPh>
    <rPh sb="11" eb="13">
      <t>タイサク</t>
    </rPh>
    <rPh sb="16" eb="18">
      <t>シゲン</t>
    </rPh>
    <rPh sb="21" eb="23">
      <t>ゴウイ</t>
    </rPh>
    <phoneticPr fontId="18"/>
  </si>
  <si>
    <t>ドイツは南アフリカに対し電力網と再生エネルギーに2億ユーロの優遇気候融資を提供すると発表。両国はグリーン水素や電池のバリューチェーン向けに約2.7億ユーロの支援延長と重要鉱物での協力拡大でも合意。</t>
    <rPh sb="4" eb="5">
      <t>ミナミ</t>
    </rPh>
    <rPh sb="10" eb="11">
      <t>タイ</t>
    </rPh>
    <rPh sb="16" eb="18">
      <t>サイセイ</t>
    </rPh>
    <phoneticPr fontId="18"/>
  </si>
  <si>
    <t>融資と鉱物協力は南アの脱炭素と電力安定化を支援し、電池素材の供給で日本企業の調達先多様化に影響する。</t>
    <phoneticPr fontId="18"/>
  </si>
  <si>
    <t>https://www.reuters.com/world/africa/south-africa-agrees-new-climate-loan-critical-minerals-cooperation-germany-visit-2026-04-13/</t>
  </si>
  <si>
    <t>ナイジェリア</t>
    <phoneticPr fontId="18"/>
  </si>
  <si>
    <t>ナイジェリアの市場で空爆、200人超犠牲</t>
    <phoneticPr fontId="18"/>
  </si>
  <si>
    <t>ナイジェリア軍の軍用機が北東部の村の市場を空爆。少なくとも200人の死亡が報告される。攻撃はイスラム過激派追撃中に行われたと伝えられる</t>
    <phoneticPr fontId="18"/>
  </si>
  <si>
    <t>この空爆により治安悪化と深刻な人道危機が生じ、国際的批判や援助需要が高まる可能性。</t>
    <rPh sb="2" eb="4">
      <t>クウバク</t>
    </rPh>
    <rPh sb="20" eb="21">
      <t>ショウ</t>
    </rPh>
    <rPh sb="37" eb="40">
      <t>カノウセイ</t>
    </rPh>
    <phoneticPr fontId="18"/>
  </si>
  <si>
    <t>https://www.reuters.com/world/africa/nigerian-airstrike-village-market-is-latest-which-civilians-have-been-killed-2026-04-13/</t>
  </si>
  <si>
    <t>ナイジェリアとモロッコ、天然ガスパイプラインに合意へ</t>
    <rPh sb="12" eb="14">
      <t>テンネン</t>
    </rPh>
    <phoneticPr fontId="18"/>
  </si>
  <si>
    <t>両国を結ぶ天然ガスパイプラインの政府間協定が今年署名されると発表。容量は最大30bcmで、2031年に最初の供給を見込む。</t>
    <rPh sb="51" eb="53">
      <t>サイショ</t>
    </rPh>
    <phoneticPr fontId="18"/>
  </si>
  <si>
    <t>モロッコ</t>
    <phoneticPr fontId="18"/>
  </si>
  <si>
    <t>地域のエネルギー統合が進み、国際供給網と投資環境に影響。日本企業の資源・投資機会が広がる可能性も。</t>
    <rPh sb="44" eb="47">
      <t>カノウセイ</t>
    </rPh>
    <phoneticPr fontId="18"/>
  </si>
  <si>
    <t>https://www.reuters.com/sustainability/boards-policy-regulation/intergovernmental-deal-25-billion-nigeria-morocco-gas-pipeline-due-this-year-2026-04-13/</t>
  </si>
  <si>
    <t>ジブチ</t>
    <phoneticPr fontId="18"/>
  </si>
  <si>
    <t>ジブチ大統領選挙、現職が得票率97.8%で再選</t>
    <rPh sb="6" eb="8">
      <t>センキョ</t>
    </rPh>
    <rPh sb="9" eb="11">
      <t>ゲンショク</t>
    </rPh>
    <rPh sb="12" eb="15">
      <t>トクヒョウリツ</t>
    </rPh>
    <phoneticPr fontId="18"/>
  </si>
  <si>
    <t>ジブチのゲレ大統領が大統領選挙で得票率97.8%で再選、6期目に入る。議会は2025年、立候補の年齢制限を撤廃し主要野党は選挙をボイコットしていた</t>
    <rPh sb="10" eb="13">
      <t>ダイトウリョウ</t>
    </rPh>
    <rPh sb="44" eb="47">
      <t>リッコウホ</t>
    </rPh>
    <phoneticPr fontId="18"/>
  </si>
  <si>
    <t>紅海に面する港湾と外国軍基地を有するジブチで長期政権が続くことで、地域の安全保障政策に影響が生じる。</t>
    <rPh sb="0" eb="2">
      <t>コウカイ</t>
    </rPh>
    <rPh sb="3" eb="4">
      <t>メン</t>
    </rPh>
    <rPh sb="15" eb="16">
      <t>ユウ</t>
    </rPh>
    <rPh sb="33" eb="35">
      <t>チイキ</t>
    </rPh>
    <rPh sb="46" eb="47">
      <t>ショウ</t>
    </rPh>
    <phoneticPr fontId="18"/>
  </si>
  <si>
    <t>https://www.reuters.com/world/africa/djibouti-president-wins-election-with-978-vote-state-media-says-2026-04-11/</t>
  </si>
  <si>
    <t>民主同盟の新党首にケープタウン市長が就任</t>
    <rPh sb="0" eb="4">
      <t>ミンシュドウメイ</t>
    </rPh>
    <rPh sb="5" eb="8">
      <t>シントウシュ</t>
    </rPh>
    <rPh sb="15" eb="17">
      <t>シチョウ</t>
    </rPh>
    <rPh sb="18" eb="20">
      <t>シュウニン</t>
    </rPh>
    <phoneticPr fontId="18"/>
  </si>
  <si>
    <t>民主同盟（DA）がケープタウン市長のルイス氏を新党首に選出。同氏は地方選で勢力拡大を図る考えを示した。</t>
    <rPh sb="21" eb="22">
      <t>ウジ</t>
    </rPh>
    <rPh sb="30" eb="32">
      <t>ドウシ</t>
    </rPh>
    <phoneticPr fontId="18"/>
  </si>
  <si>
    <t>与党アフリカ民族会議（ANC）の支持低下を受け、地方政局が変動する可能性。在南アの日本企業の事業環境や投資リスクに影響する。</t>
    <rPh sb="33" eb="36">
      <t>カノウセイ</t>
    </rPh>
    <phoneticPr fontId="18"/>
  </si>
  <si>
    <t>https://www.reuters.com/world/africa/south-african-coalition-partner-da-elects-hill-lewis-leader-2026-04-12/</t>
  </si>
  <si>
    <t>リビア</t>
    <phoneticPr fontId="18"/>
  </si>
  <si>
    <t>リビアにて13年ぶりに統一予算が成立</t>
    <rPh sb="16" eb="18">
      <t>セイリツ</t>
    </rPh>
    <phoneticPr fontId="18"/>
  </si>
  <si>
    <t>東西に分かれた二つの立法機関が約300億ドルの統一国家予算を承認。リビア中央銀行は財政安定と資源配分の一元化を期待すると発表。</t>
    <phoneticPr fontId="18"/>
  </si>
  <si>
    <t>統一予算は石油収入と支出の管理を一本化し、政治的統合と地域安定を後押しする。エネルギー供給安定は日本企業の投資環境にも影響を与える。</t>
    <phoneticPr fontId="18"/>
  </si>
  <si>
    <t>https://www.reuters.com/world/africa/libya-signs-first-unified-state-budget-over-decade-2026-04-11/</t>
  </si>
  <si>
    <t>カナダ</t>
    <phoneticPr fontId="18"/>
  </si>
  <si>
    <t>カナダ与党、補欠選挙で単独過半数確保</t>
    <rPh sb="3" eb="5">
      <t>ヨトウ</t>
    </rPh>
    <rPh sb="6" eb="10">
      <t>ホケツセンキョ</t>
    </rPh>
    <phoneticPr fontId="18"/>
  </si>
  <si>
    <t>カナダの与党自由党が補欠選で勝利し、下院にて単独過半数を確保。</t>
    <rPh sb="4" eb="6">
      <t>ヨトウ</t>
    </rPh>
    <rPh sb="6" eb="9">
      <t>ジユウトウ</t>
    </rPh>
    <rPh sb="18" eb="20">
      <t>カイン</t>
    </rPh>
    <phoneticPr fontId="18"/>
  </si>
  <si>
    <t>政権基盤が安定することで、対米貿易摩擦への対応迅速化や同国への投資拡大政策に影響が発生。</t>
    <rPh sb="0" eb="2">
      <t>セイケン</t>
    </rPh>
    <rPh sb="2" eb="4">
      <t>キバン</t>
    </rPh>
    <rPh sb="5" eb="7">
      <t>アンテイ</t>
    </rPh>
    <rPh sb="13" eb="15">
      <t>タイベイ</t>
    </rPh>
    <rPh sb="23" eb="26">
      <t>ジンソクカ</t>
    </rPh>
    <rPh sb="27" eb="29">
      <t>ドウコク</t>
    </rPh>
    <rPh sb="31" eb="33">
      <t>トウシ</t>
    </rPh>
    <rPh sb="33" eb="35">
      <t>カクダイ</t>
    </rPh>
    <rPh sb="35" eb="37">
      <t>セイサク</t>
    </rPh>
    <rPh sb="41" eb="43">
      <t>ハッセイ</t>
    </rPh>
    <phoneticPr fontId="18"/>
  </si>
  <si>
    <t>https://www.reuters.com/world/americas/canadas-carney-set-win-majority-government-special-elections-2026-04-13/</t>
  </si>
  <si>
    <t>仏マクロン大統領とベネズエラ野党指導者が会談</t>
    <rPh sb="0" eb="1">
      <t>フツ</t>
    </rPh>
    <rPh sb="5" eb="8">
      <t>ダイトウリョウ</t>
    </rPh>
    <rPh sb="14" eb="16">
      <t>ヤトウ</t>
    </rPh>
    <rPh sb="16" eb="19">
      <t>シドウシャ</t>
    </rPh>
    <rPh sb="20" eb="22">
      <t>カイダン</t>
    </rPh>
    <phoneticPr fontId="18"/>
  </si>
  <si>
    <t>仏マクロン大統領がベネズエラ野党指導者マチャド氏と会談。ベネズエラの平和的で民主的な政権移行について協議。</t>
    <rPh sb="0" eb="1">
      <t>フツ</t>
    </rPh>
    <rPh sb="14" eb="19">
      <t>ヤトウシドウシャ</t>
    </rPh>
    <phoneticPr fontId="18"/>
  </si>
  <si>
    <t>欧州諸国の関与表明はベネズエラ政局に国際的圧力をかけ、エネルギーや外交課題での検討加速化が期待される。</t>
    <rPh sb="2" eb="4">
      <t>ショコク</t>
    </rPh>
    <rPh sb="39" eb="41">
      <t>ケントウ</t>
    </rPh>
    <rPh sb="41" eb="44">
      <t>カソクカ</t>
    </rPh>
    <rPh sb="45" eb="47">
      <t>キタイ</t>
    </rPh>
    <phoneticPr fontId="18"/>
  </si>
  <si>
    <t>https://www.reuters.com/world/americas/frances-macron-hold-talks-with-venezuelan-opposition-leader-machado-2026-04-13/</t>
  </si>
  <si>
    <t>北朝鮮、新型駆逐艦からミサイルを試射</t>
    <rPh sb="0" eb="3">
      <t>キタチョウセン</t>
    </rPh>
    <rPh sb="4" eb="9">
      <t>シンガタクチクカン</t>
    </rPh>
    <phoneticPr fontId="18"/>
  </si>
  <si>
    <t>北朝鮮が日本海にて新型駆逐艦から戦略巡航ミサイルと対艦ミサイルを発射し、巡航ミサイルは2時間超飛行して目標に命中したと報じられる。</t>
    <rPh sb="4" eb="7">
      <t>ニホンカイ</t>
    </rPh>
    <phoneticPr fontId="18"/>
  </si>
  <si>
    <t>軍事力強化は朝鮮半島の緊張を高め、日米韓の監視・抑止の強化や海上安全保証対策の協議が促進される。</t>
    <rPh sb="27" eb="29">
      <t>キョウカ</t>
    </rPh>
    <rPh sb="34" eb="36">
      <t>ホショウ</t>
    </rPh>
    <rPh sb="39" eb="41">
      <t>キョウギ</t>
    </rPh>
    <rPh sb="42" eb="44">
      <t>ソクシン</t>
    </rPh>
    <phoneticPr fontId="18"/>
  </si>
  <si>
    <t>https://www.reuters.com/world/asia-pacific/north-korea-tests-cruise-anti-ship-missiles-naval-destroyer-2026-04-13/</t>
  </si>
  <si>
    <t>中国、米によるホルムズ海峡封鎖に懸念</t>
    <rPh sb="3" eb="4">
      <t>ベイ</t>
    </rPh>
    <phoneticPr fontId="18"/>
  </si>
  <si>
    <t>米軍のホルムズ海峡の海上封鎖表明を受け、同海峡の封鎖は国際社会の利益に反すると中国が抑制を求める。</t>
    <rPh sb="7" eb="9">
      <t>カイキョウ</t>
    </rPh>
    <rPh sb="20" eb="21">
      <t>ドウ</t>
    </rPh>
    <rPh sb="39" eb="41">
      <t>チュウゴク</t>
    </rPh>
    <phoneticPr fontId="18"/>
  </si>
  <si>
    <t>ホルムズ封鎖は世界の石油供給と海運に打撃を与え、日本のエネルギー安定や輸送コストにも影響を及ぼす可能性がある。</t>
    <phoneticPr fontId="18"/>
  </si>
  <si>
    <t>https://www.reuters.com/world/china/china-urges-restraint-over-us-blockade-strait-hormuz-backs-talks-2026-04-13/</t>
  </si>
  <si>
    <t>米豪比、南シナ海での合同軍事演習を実施</t>
    <rPh sb="10" eb="14">
      <t>ゴウドウグンジ</t>
    </rPh>
    <rPh sb="17" eb="19">
      <t>ジッシ</t>
    </rPh>
    <phoneticPr fontId="18"/>
  </si>
  <si>
    <t>アメリカ、オーストラリア、フィリピンが南シナ海で合同軍事演習を実施。連携向上が図られる。</t>
    <rPh sb="19" eb="20">
      <t>ミナミ</t>
    </rPh>
    <rPh sb="22" eb="23">
      <t>カイ</t>
    </rPh>
    <rPh sb="24" eb="30">
      <t>ゴウドウグンジエンシュウ</t>
    </rPh>
    <rPh sb="31" eb="33">
      <t>ジッシ</t>
    </rPh>
    <rPh sb="34" eb="36">
      <t>レンケイ</t>
    </rPh>
    <rPh sb="36" eb="38">
      <t>コウジョウ</t>
    </rPh>
    <rPh sb="39" eb="40">
      <t>ハカ</t>
    </rPh>
    <phoneticPr fontId="18"/>
  </si>
  <si>
    <t>フィリピン</t>
    <phoneticPr fontId="18"/>
  </si>
  <si>
    <t>対中抑止と連携強化を示す演習は地域の安全保障に影響。海上輸送路の安全性が高まる一方で中国の反応も用注目。</t>
    <rPh sb="18" eb="22">
      <t>アンゼンホショウ</t>
    </rPh>
    <rPh sb="26" eb="31">
      <t>カイジョウユソウロ</t>
    </rPh>
    <rPh sb="32" eb="35">
      <t>アンゼンセイ</t>
    </rPh>
    <rPh sb="39" eb="41">
      <t>イッポウ</t>
    </rPh>
    <rPh sb="42" eb="44">
      <t>チュウゴク</t>
    </rPh>
    <rPh sb="45" eb="47">
      <t>ハンノウ</t>
    </rPh>
    <rPh sb="48" eb="51">
      <t>ヨウチュウモク</t>
    </rPh>
    <phoneticPr fontId="18"/>
  </si>
  <si>
    <t>https://www.reuters.com/business/aerospace-defense/us-australia-philippines-hold-second-joint-drills-south-china-sea-this-year-2026-04-13/</t>
  </si>
  <si>
    <t>アメリカがホルムズ海峡封鎖を開始</t>
    <rPh sb="9" eb="13">
      <t>カイキョウフウサ</t>
    </rPh>
    <rPh sb="14" eb="16">
      <t>カイシ</t>
    </rPh>
    <phoneticPr fontId="18"/>
  </si>
  <si>
    <t>停戦協議決裂を受け、米軍がホルムズ海峡の封鎖を開始したと発表。イランは湾岸諸国の港への報復を警告し、原油は再び100ドル超へ上昇。</t>
    <rPh sb="0" eb="2">
      <t>テイセン</t>
    </rPh>
    <rPh sb="2" eb="4">
      <t>キョウギ</t>
    </rPh>
    <rPh sb="17" eb="19">
      <t>カイキョウ</t>
    </rPh>
    <rPh sb="20" eb="22">
      <t>フウサ</t>
    </rPh>
    <rPh sb="23" eb="25">
      <t>カイシ</t>
    </rPh>
    <phoneticPr fontId="18"/>
  </si>
  <si>
    <t>封鎖は世界の石油供給と海運に重大影響を与え、日本のエネルギー安定や輸入コスト上昇を招く恐れがある。</t>
    <phoneticPr fontId="18"/>
  </si>
  <si>
    <t>https://www.reuters.com/world/middle-east/us-blockade-iran-after-talks-fail-yield-a-deal-2026-04-13/</t>
  </si>
  <si>
    <t>ポーランド</t>
    <phoneticPr fontId="18"/>
  </si>
  <si>
    <t>韓国とポーランドが連携強化を確認</t>
    <rPh sb="11" eb="13">
      <t>キョウカ</t>
    </rPh>
    <rPh sb="14" eb="16">
      <t>カクニン</t>
    </rPh>
    <phoneticPr fontId="18"/>
  </si>
  <si>
    <t>首脳会談にて両国関係を包括的戦略的パートナーシップに格上げすることが合意。防衛協力を軸に共同生産や技術移転、エネルギーや先端産業での協力拡大も確認される。</t>
    <rPh sb="0" eb="4">
      <t>シュノウカイダン</t>
    </rPh>
    <phoneticPr fontId="18"/>
  </si>
  <si>
    <t>防衛連携の深化は抑止力を高め、韓国の防衛産業の輸出拡大を促す。日本の安全保障や調達先にも影響を与える。</t>
    <phoneticPr fontId="18"/>
  </si>
  <si>
    <t>https://www.reuters.com/world/asia-pacific/south-korea-poland-upgrade-ties-comprehensive-strategic-partnership-media-2026-04-13/</t>
  </si>
  <si>
    <t>パキスタンが戦闘機をサウジアラビアへ派遣</t>
    <rPh sb="6" eb="8">
      <t>セントウ</t>
    </rPh>
    <phoneticPr fontId="18"/>
  </si>
  <si>
    <t>両国の相互防衛協定に基づき、パキスタンの戦闘機がサウジアラビアに派遣される。イラン情勢を受けての対応と発表。</t>
    <rPh sb="0" eb="2">
      <t>リョウコク</t>
    </rPh>
    <rPh sb="20" eb="23">
      <t>セントウキ</t>
    </rPh>
    <rPh sb="32" eb="34">
      <t>ハケン</t>
    </rPh>
    <rPh sb="41" eb="43">
      <t>ジョウセイ</t>
    </rPh>
    <rPh sb="44" eb="45">
      <t>ウ</t>
    </rPh>
    <rPh sb="51" eb="53">
      <t>ハッピョウ</t>
    </rPh>
    <phoneticPr fontId="18"/>
  </si>
  <si>
    <t>両国の軍事連携強化は抑止力を高める一方、地域緊張とエネルギー不安定化を招き、国際的な外交・安全保障対応を複雑化させる。</t>
    <phoneticPr fontId="18"/>
  </si>
  <si>
    <t>https://www.reuters.com/world/asia-pacific/saudi-arabia-says-pakistan-sends-fighter-jets-kingdom-under-defence-pact-2026-04-11/</t>
  </si>
  <si>
    <t>スペイン</t>
    <phoneticPr fontId="18"/>
  </si>
  <si>
    <t>スペインと中国の首脳会談</t>
    <rPh sb="5" eb="7">
      <t>チュウゴク</t>
    </rPh>
    <rPh sb="8" eb="12">
      <t>シュノウカイダン</t>
    </rPh>
    <phoneticPr fontId="18"/>
  </si>
  <si>
    <t>スペイン首相が中国を訪問、関係強化で一致し、貿易赤字是正や農産品の対中輸出拡大など経済協力を進めることで合意した。</t>
    <phoneticPr fontId="18"/>
  </si>
  <si>
    <t>欧州主要国の中国接近は米中対立や貿易・安全保障政策にも波及するため、日本の対中経済戦略や同盟調整にも影響を与える。</t>
    <rPh sb="6" eb="8">
      <t>チュウゴク</t>
    </rPh>
    <phoneticPr fontId="18"/>
  </si>
  <si>
    <t>https://www.reuters.com/world/china/spanish-premier-chinas-xi-pledge-closer-ties-amid-crumbling-international-order-2026-04-14/</t>
  </si>
  <si>
    <t>ハンガリー</t>
    <phoneticPr fontId="18"/>
  </si>
  <si>
    <t>マジャール次期首相、ハンガリー国営放送停止を指示</t>
    <rPh sb="22" eb="24">
      <t>シジ</t>
    </rPh>
    <phoneticPr fontId="18"/>
  </si>
  <si>
    <t>偏向報道是正のため公営メディアのニュース番組を当面停止すると発表。改革と報道の中立化を優先する意向。</t>
    <phoneticPr fontId="18"/>
  </si>
  <si>
    <t>https://www.reuters.com/business/media-telecom/hungarys-election-winner-magyar-says-suspend-state-media-news-broadcast-2026-04-13/</t>
  </si>
  <si>
    <t>ハンガリー議会選挙で政権交代へ</t>
    <rPh sb="5" eb="9">
      <t>ギカイセンキョ</t>
    </rPh>
    <rPh sb="10" eb="14">
      <t>セイケンコウタイ</t>
    </rPh>
    <phoneticPr fontId="18"/>
  </si>
  <si>
    <t>オルバン首相が議会選挙で敗北。経済停滞への不満で親EU路線のマジャール氏率いる中道右派政党が勝利。</t>
    <rPh sb="7" eb="11">
      <t>ギカイセンキョ</t>
    </rPh>
    <rPh sb="12" eb="14">
      <t>ハイボク</t>
    </rPh>
    <rPh sb="35" eb="36">
      <t>ウジ</t>
    </rPh>
    <rPh sb="36" eb="37">
      <t>ヒキ</t>
    </rPh>
    <rPh sb="43" eb="45">
      <t>セイトウ</t>
    </rPh>
    <rPh sb="46" eb="48">
      <t>ショウリ</t>
    </rPh>
    <phoneticPr fontId="18"/>
  </si>
  <si>
    <t>欧州連合との関係修復や資金復帰が進めば、ウクライナ支援の拡大が見込まれる。日本の対欧・対中経済・安全保障戦略にも影響を与える。</t>
    <rPh sb="25" eb="27">
      <t>シエン</t>
    </rPh>
    <rPh sb="28" eb="30">
      <t>カクダイ</t>
    </rPh>
    <rPh sb="31" eb="33">
      <t>ミコ</t>
    </rPh>
    <phoneticPr fontId="18"/>
  </si>
  <si>
    <t>https://www.reuters.com/world/europe/orban-ousted-after-16-years-hungarians-flock-pro-eu-rival-2026-04-12/</t>
    <phoneticPr fontId="18"/>
  </si>
  <si>
    <t>NATO、ホルムズ封鎖に不参加を表明</t>
    <rPh sb="16" eb="18">
      <t>ヒョウメイ</t>
    </rPh>
    <phoneticPr fontId="18"/>
  </si>
  <si>
    <t>米軍のホルムズ海峡封鎖について、NATO加盟国の英仏は参加を拒否、紛争終結後に航行再開をめざすことを提案。</t>
    <rPh sb="0" eb="2">
      <t>ベイグン</t>
    </rPh>
    <rPh sb="7" eb="9">
      <t>カイキョウ</t>
    </rPh>
    <rPh sb="24" eb="26">
      <t>エイフツ</t>
    </rPh>
    <rPh sb="50" eb="52">
      <t>テイアン</t>
    </rPh>
    <phoneticPr fontId="18"/>
  </si>
  <si>
    <t>米欧の対立はNATOの結束を揺るがし、海上輸送と原油市場の不安が日本のエネルギー安定や輸入コストに影響を及ぼす。</t>
    <phoneticPr fontId="18"/>
  </si>
  <si>
    <t>https://www.reuters.com/world/europe/nato-allies-refuse-join-trumps-strait-hormuz-blockade-2026-04-13/</t>
  </si>
  <si>
    <t>ウクライナとロシアが捕虜交換を実施</t>
    <rPh sb="10" eb="14">
      <t>ホリョコウカン</t>
    </rPh>
    <rPh sb="15" eb="17">
      <t>ジッシ</t>
    </rPh>
    <phoneticPr fontId="18"/>
  </si>
  <si>
    <t>UAEの仲介で両国が175名の捕虜交換を実施した。</t>
    <rPh sb="7" eb="9">
      <t>リョウコク</t>
    </rPh>
    <rPh sb="13" eb="14">
      <t>メイ</t>
    </rPh>
    <phoneticPr fontId="18"/>
  </si>
  <si>
    <t>緊張緩和の一歩だが戦闘終結のめどはつかず。</t>
    <rPh sb="11" eb="13">
      <t>シュウケツ</t>
    </rPh>
    <phoneticPr fontId="18"/>
  </si>
  <si>
    <t>https://www.reuters.com/world/europe/russia-ukraine-carry-out-pow-swap-defence-ministry-says-2026-04-11/</t>
  </si>
  <si>
    <t>イスラエルの情報機関にて新長官が任命される</t>
    <rPh sb="6" eb="10">
      <t>ジョウホウキカン</t>
    </rPh>
    <rPh sb="12" eb="15">
      <t>シンチョウカン</t>
    </rPh>
    <rPh sb="16" eb="18">
      <t>ニンメイ</t>
    </rPh>
    <phoneticPr fontId="18"/>
  </si>
  <si>
    <t>国家諜報機関モサドの新長官が新たに承認されたとネタニヤフ首相府が発表。</t>
    <rPh sb="14" eb="15">
      <t>アラ</t>
    </rPh>
    <phoneticPr fontId="18"/>
  </si>
  <si>
    <t>諜報機関の長官交代は中東情勢と対テロ対応に影響を与え、日本の外交・情報連携にも波及する。</t>
    <phoneticPr fontId="18"/>
  </si>
  <si>
    <t>https://www.reuters.com/world/middle-east/israel-approves-appointment-new-intelligence-agency-chief-2026-04-12/</t>
  </si>
  <si>
    <t>イラク</t>
    <phoneticPr fontId="18"/>
  </si>
  <si>
    <t>イラクにて新たな大統領が選出される</t>
    <rPh sb="5" eb="6">
      <t>アラ</t>
    </rPh>
    <rPh sb="8" eb="11">
      <t>ダイトウリョウ</t>
    </rPh>
    <rPh sb="12" eb="14">
      <t>センシュツ</t>
    </rPh>
    <phoneticPr fontId="18"/>
  </si>
  <si>
    <t>クルド系のアメディ氏が大統領に選出される。同氏は元環境相、愛国クルド同盟(PUK)の政治局長を務める。</t>
    <rPh sb="9" eb="10">
      <t>ウジ</t>
    </rPh>
    <rPh sb="15" eb="17">
      <t>センシュツ</t>
    </rPh>
    <rPh sb="21" eb="23">
      <t>ドウシ</t>
    </rPh>
    <phoneticPr fontId="18"/>
  </si>
  <si>
    <t>首相指名が次の焦点となり、米・イランの影響力を踏まえた外交調整と政局安定が重要になる</t>
    <phoneticPr fontId="18"/>
  </si>
  <si>
    <t>https://www.reuters.com/world/middle-east/iraqi-parliament-elects-nizar-amedi-countrys-new-president-2026-04-11/</t>
  </si>
  <si>
    <t>英、ウクライナへ12万機のドローン供与へ</t>
    <phoneticPr fontId="18"/>
  </si>
  <si>
    <t>イギリス政府、少なくとも12万機のドローンを2026年にウクライナに供与すると発表。長距離攻撃、偵察、物流、海洋用を含む最大規模の支援で、英国防相が最優先であると表明した</t>
    <rPh sb="4" eb="6">
      <t>セイフ</t>
    </rPh>
    <rPh sb="26" eb="27">
      <t>ネン</t>
    </rPh>
    <rPh sb="69" eb="71">
      <t>エイコク</t>
    </rPh>
    <phoneticPr fontId="18"/>
  </si>
  <si>
    <t>米国、イギリスのチャゴス諸島移譲を阻止</t>
    <rPh sb="0" eb="2">
      <t>ベイコク</t>
    </rPh>
    <rPh sb="12" eb="14">
      <t>ショトウ</t>
    </rPh>
    <phoneticPr fontId="18"/>
  </si>
  <si>
    <t>イギリスとモーリシャス間で進んでいたチャゴス諸島の返還案に米が反対し変換案の承認を撤回。英国は関連法案の議会提出を中止した。</t>
    <rPh sb="13" eb="14">
      <t>スス</t>
    </rPh>
    <rPh sb="29" eb="30">
      <t>ベイ</t>
    </rPh>
    <rPh sb="34" eb="37">
      <t>ヘンカンアン</t>
    </rPh>
    <phoneticPr fontId="18"/>
  </si>
  <si>
    <t>モーリシャス</t>
    <phoneticPr fontId="18"/>
  </si>
  <si>
    <t>インドのビハール州知事選挙</t>
    <rPh sb="8" eb="13">
      <t>シュウチジセンキョ</t>
    </rPh>
    <phoneticPr fontId="18"/>
  </si>
  <si>
    <t>インド中部のビハール州知事選挙にて、与党BJP候補が勝利。BJPが同州にて知事を輩出するのは初めて。モディ首相率いる与党BJPが、インド中部にて影響力を強める。</t>
    <rPh sb="3" eb="5">
      <t>チュウブ</t>
    </rPh>
    <rPh sb="11" eb="15">
      <t>チジセンキョ</t>
    </rPh>
    <rPh sb="18" eb="20">
      <t>ヨトウ</t>
    </rPh>
    <rPh sb="23" eb="25">
      <t>コウホ</t>
    </rPh>
    <rPh sb="26" eb="28">
      <t>ショウリ</t>
    </rPh>
    <rPh sb="33" eb="35">
      <t>ドウシュウ</t>
    </rPh>
    <rPh sb="37" eb="39">
      <t>チジ</t>
    </rPh>
    <rPh sb="40" eb="42">
      <t>ハイシュツ</t>
    </rPh>
    <rPh sb="46" eb="47">
      <t>ハジ</t>
    </rPh>
    <rPh sb="55" eb="56">
      <t>ヒキ</t>
    </rPh>
    <rPh sb="68" eb="70">
      <t>チュウブ</t>
    </rPh>
    <phoneticPr fontId="18"/>
  </si>
  <si>
    <t>ハンガリー</t>
    <phoneticPr fontId="18"/>
  </si>
  <si>
    <t>マジャール次期首相、大統領に辞任を要求</t>
    <rPh sb="5" eb="9">
      <t>ジキシュショウ</t>
    </rPh>
    <rPh sb="10" eb="13">
      <t>ダイトウリョウ</t>
    </rPh>
    <rPh sb="14" eb="16">
      <t>ジニン</t>
    </rPh>
    <rPh sb="17" eb="19">
      <t>ヨウキュウ</t>
    </rPh>
    <phoneticPr fontId="18"/>
  </si>
  <si>
    <t>議会選挙に勝利したティサを率いるマジャール氏が、新政権発足を前に大統領に辞任を求めた。オルバン政権の影響を排し、早期に権限移譲を進める狙いとみられる。</t>
    <rPh sb="0" eb="4">
      <t>ギカイセンキョ</t>
    </rPh>
    <rPh sb="5" eb="7">
      <t>ショウリ</t>
    </rPh>
    <rPh sb="13" eb="14">
      <t>ヒキ</t>
    </rPh>
    <rPh sb="21" eb="22">
      <t>シ</t>
    </rPh>
    <rPh sb="50" eb="52">
      <t>エイキョウ</t>
    </rPh>
    <rPh sb="53" eb="54">
      <t>ハイ</t>
    </rPh>
    <phoneticPr fontId="18"/>
  </si>
  <si>
    <t>フィリピン</t>
    <phoneticPr fontId="18"/>
  </si>
  <si>
    <t>フィリピン国家安保顧問にオバン氏が就任</t>
    <rPh sb="15" eb="16">
      <t>ウジ</t>
    </rPh>
    <rPh sb="17" eb="19">
      <t>シュウニン</t>
    </rPh>
    <phoneticPr fontId="18"/>
  </si>
  <si>
    <t>健康上の理由で現職の国家安全保障顧問の辞任希望を受け就任。軍出身者を据えることで安全保障へより注力するものと想定される。</t>
    <rPh sb="7" eb="9">
      <t>ゲンショク</t>
    </rPh>
    <rPh sb="21" eb="23">
      <t>キボウ</t>
    </rPh>
    <rPh sb="24" eb="25">
      <t>ウ</t>
    </rPh>
    <rPh sb="26" eb="28">
      <t>シュウニン</t>
    </rPh>
    <rPh sb="29" eb="33">
      <t>グンシュッシンシャ</t>
    </rPh>
    <rPh sb="34" eb="35">
      <t>ス</t>
    </rPh>
    <rPh sb="40" eb="42">
      <t>アンゼン</t>
    </rPh>
    <rPh sb="42" eb="44">
      <t>ホショウ</t>
    </rPh>
    <rPh sb="47" eb="49">
      <t>チュウリョク</t>
    </rPh>
    <rPh sb="54" eb="56">
      <t>ソウテイ</t>
    </rPh>
    <phoneticPr fontId="18"/>
  </si>
  <si>
    <t>日本</t>
    <rPh sb="0" eb="2">
      <t>ニホン</t>
    </rPh>
    <phoneticPr fontId="18"/>
  </si>
  <si>
    <t>日本、東南アジアへ100億ドル支援を表明</t>
    <rPh sb="0" eb="2">
      <t>ニホン</t>
    </rPh>
    <rPh sb="18" eb="20">
      <t>ヒョウメイ</t>
    </rPh>
    <phoneticPr fontId="18"/>
  </si>
  <si>
    <t>高市首相は東南アジア諸国の原油確保に向け、総額約100億ドルの支援を発表。国際協力銀行（JBIC）や日本貿易保険（NEXI）を通じ融資や信用支援を行う方針。</t>
    <rPh sb="0" eb="4">
      <t>タカイチシュショウ</t>
    </rPh>
    <rPh sb="13" eb="17">
      <t>ゲンユカクホ</t>
    </rPh>
    <rPh sb="18" eb="19">
      <t>ム</t>
    </rPh>
    <rPh sb="31" eb="33">
      <t>シエン</t>
    </rPh>
    <rPh sb="34" eb="36">
      <t>ハッピョウ</t>
    </rPh>
    <phoneticPr fontId="18"/>
  </si>
  <si>
    <t>イタリア</t>
    <phoneticPr fontId="18"/>
  </si>
  <si>
    <t>伊メローニ首相、米トランプ政権との関係見直しへ</t>
    <rPh sb="0" eb="1">
      <t>イ</t>
    </rPh>
    <rPh sb="5" eb="7">
      <t>シュショウ</t>
    </rPh>
    <rPh sb="8" eb="9">
      <t>ベイ</t>
    </rPh>
    <rPh sb="13" eb="15">
      <t>セイケン</t>
    </rPh>
    <rPh sb="17" eb="21">
      <t>カンケイミナオ</t>
    </rPh>
    <phoneticPr fontId="18"/>
  </si>
  <si>
    <t>イタリアのメローニ首相はイランでの紛争を受け、従来の親トランプ路線を見直し接近を断念と発表。米トランプ大統領はホルムズ海峡におけるイタリアの支援拒否を非難し、両者の溝が深まっている</t>
    <rPh sb="17" eb="19">
      <t>フンソウ</t>
    </rPh>
    <rPh sb="20" eb="21">
      <t>ウ</t>
    </rPh>
    <rPh sb="26" eb="27">
      <t>オヤ</t>
    </rPh>
    <rPh sb="43" eb="45">
      <t>ハッピョウ</t>
    </rPh>
    <rPh sb="46" eb="47">
      <t>ベイ</t>
    </rPh>
    <rPh sb="59" eb="61">
      <t>カイキョウ</t>
    </rPh>
    <phoneticPr fontId="18"/>
  </si>
  <si>
    <t>アメリカ</t>
    <phoneticPr fontId="18"/>
  </si>
  <si>
    <t>米印首脳がホルムズ海峡について電話協議</t>
    <rPh sb="0" eb="4">
      <t>ベイインシュノウ</t>
    </rPh>
    <rPh sb="9" eb="11">
      <t>カイキョウ</t>
    </rPh>
    <rPh sb="15" eb="19">
      <t>デンワキョウギ</t>
    </rPh>
    <phoneticPr fontId="18"/>
  </si>
  <si>
    <t>インドのモディ首相と米トランプ大統領が電話会談。ホルムズ海峡の航行安全と米国のホルムズ海峡封鎖がエネルギー供給に与える影響を巡り意見交換した。</t>
    <rPh sb="7" eb="9">
      <t>シュショウ</t>
    </rPh>
    <rPh sb="10" eb="11">
      <t>ベイ</t>
    </rPh>
    <rPh sb="15" eb="18">
      <t>ダイトウリョウ</t>
    </rPh>
    <rPh sb="43" eb="45">
      <t>カイキョウ</t>
    </rPh>
    <phoneticPr fontId="18"/>
  </si>
  <si>
    <t>イタリアがイスラエルとの防衛協定の更新凍結を発表</t>
    <rPh sb="12" eb="16">
      <t>ボウエイキョウテイ</t>
    </rPh>
    <rPh sb="17" eb="21">
      <t>コウシントウケツ</t>
    </rPh>
    <rPh sb="22" eb="24">
      <t>ハッピョウ</t>
    </rPh>
    <phoneticPr fontId="18"/>
  </si>
  <si>
    <t>イタリア政府がイスラエルとの防衛協力協定の更新を凍結すると発表。決定の背景として、イランを巡る戦闘の激化や国連平和維持部隊への威嚇行為が理由に挙げられた。</t>
    <rPh sb="35" eb="37">
      <t>ハイケイ</t>
    </rPh>
    <rPh sb="55" eb="59">
      <t>ヘイワイジ</t>
    </rPh>
    <phoneticPr fontId="18"/>
  </si>
  <si>
    <t>イスラエル</t>
    <phoneticPr fontId="18"/>
  </si>
  <si>
    <t>欧米の軍事支援が一段と強化され、紛争長期化や防衛装備需要の増大を通じて防衛産業・安全保障協力に影響を与え、日本の装備調達や地域安全保障にも波及し得る</t>
    <phoneticPr fontId="18"/>
  </si>
  <si>
    <t>https://www.bloomberg.com/news/articles/2026-04-15/uk-pledges-120-000-drones-for-ukraine-calling-it-priority?srnd=phx-politics</t>
  </si>
  <si>
    <t>米英の足並みが乱れ、インド洋での基地運用と域内安全保障に不確実性が生じる。海上輸送や同盟協力を通じて日本にも間接的な影響が及ぶ。</t>
    <phoneticPr fontId="18"/>
  </si>
  <si>
    <t>https://www.bloomberg.com/news/articles/2026-04-14/chagos-islands-how-trump-blocked-uk-s-diego-garcia-deal-with-mauritius?srnd=phx-politics</t>
  </si>
  <si>
    <t>与党が州政権を直接担うことで政策の一本化が進みやすく、投資やインフラのほか地域政治に政権の意向が通りやすくなる。日系企業の進出にも影響。</t>
    <rPh sb="42" eb="44">
      <t>セイケン</t>
    </rPh>
    <rPh sb="45" eb="47">
      <t>イコウ</t>
    </rPh>
    <rPh sb="48" eb="49">
      <t>トオ</t>
    </rPh>
    <rPh sb="61" eb="63">
      <t>シンシュツ</t>
    </rPh>
    <rPh sb="65" eb="67">
      <t>エイキョウ</t>
    </rPh>
    <phoneticPr fontId="18"/>
  </si>
  <si>
    <t>https://www.bloomberg.com/news/articles/2026-04-15/modi-s-party-gets-its-first-chief-minister-to-govern-bihar-state?srnd=phx-politics</t>
  </si>
  <si>
    <t>オルバン政権の影響を排し、国内の司法や報道における改革や、EUとの関係改善が早期に進めば、凍結中のEU資金復活や投資に良い影響が出るが、性急な改革には中止が必要。</t>
    <rPh sb="4" eb="6">
      <t>セイケン</t>
    </rPh>
    <rPh sb="7" eb="9">
      <t>エイキョウ</t>
    </rPh>
    <rPh sb="10" eb="11">
      <t>ハイ</t>
    </rPh>
    <rPh sb="13" eb="15">
      <t>コクナイ</t>
    </rPh>
    <rPh sb="38" eb="40">
      <t>ソウキ</t>
    </rPh>
    <rPh sb="56" eb="58">
      <t>トウシ</t>
    </rPh>
    <rPh sb="59" eb="60">
      <t>ヨ</t>
    </rPh>
    <rPh sb="61" eb="63">
      <t>エイキョウ</t>
    </rPh>
    <rPh sb="64" eb="65">
      <t>デ</t>
    </rPh>
    <rPh sb="68" eb="70">
      <t>セイキュウ</t>
    </rPh>
    <rPh sb="71" eb="73">
      <t>カイカク</t>
    </rPh>
    <rPh sb="75" eb="77">
      <t>チュウシ</t>
    </rPh>
    <rPh sb="78" eb="80">
      <t>ヒツヨウ</t>
    </rPh>
    <phoneticPr fontId="18"/>
  </si>
  <si>
    <t>https://www.bloomberg.com/news/articles/2026-04-15/magyar-says-president-must-quit-after-new-government-installed?srnd=phx-politics</t>
  </si>
  <si>
    <t>軍出身者の登用は安全保障方針に軍事的視点を強め、南シナ海対応や米比関係に影響を及ぼし得る。日本の海洋・防衛政策にも示唆を与える可能性がある。</t>
    <rPh sb="3" eb="4">
      <t>シャ</t>
    </rPh>
    <phoneticPr fontId="18"/>
  </si>
  <si>
    <t>https://www.bloomberg.com/news/articles/2026-04-15/marcos-names-ex-philippine-military-chief-as-security-adviser?srnd=phx-politics</t>
  </si>
  <si>
    <t>東南アジア地域の燃料調達と備蓄を支え、供給不安の緩和と日本企業のサプライチェーン保護が期待される。</t>
    <rPh sb="0" eb="2">
      <t>トウナン</t>
    </rPh>
    <rPh sb="5" eb="7">
      <t>チイキ</t>
    </rPh>
    <rPh sb="43" eb="45">
      <t>キタイ</t>
    </rPh>
    <phoneticPr fontId="18"/>
  </si>
  <si>
    <t>https://www.bloomberg.com/news/articles/2026-04-15/japan-may-extend-10-billion-to-southeast-asia-to-help-buy-oil?srnd=phx-politics</t>
  </si>
  <si>
    <t>アメリカとイタリアの軋轢が欧州各国で顕在化し、NATOの結束や欧州のエネルギー不安が政治・経済面で波及する可能性。日本の欧州向け投資・サプライチェーンにも影響が生じる可能性も。</t>
    <rPh sb="10" eb="12">
      <t>アツレキ</t>
    </rPh>
    <rPh sb="13" eb="15">
      <t>オウシュウ</t>
    </rPh>
    <rPh sb="15" eb="17">
      <t>カッコク</t>
    </rPh>
    <rPh sb="18" eb="21">
      <t>ケンザイカ</t>
    </rPh>
    <rPh sb="28" eb="30">
      <t>ケッソク</t>
    </rPh>
    <rPh sb="53" eb="56">
      <t>カノウセイ</t>
    </rPh>
    <rPh sb="80" eb="81">
      <t>ショウ</t>
    </rPh>
    <rPh sb="83" eb="86">
      <t>カノウセイ</t>
    </rPh>
    <phoneticPr fontId="18"/>
  </si>
  <si>
    <t>https://www.bloomberg.com/news/articles/2026-04-14/meloni-gives-up-on-courting-trump-as-iran-war-hammers-italians?srnd=phx-politics</t>
  </si>
  <si>
    <t>ホルムズ海峡の不安定化は近隣のインドにおいても海上輸送や原油確保に直結する問題。重要航路に位置するインドの動きは日本のエネルギー供給網にも影響を与えうる。</t>
    <rPh sb="12" eb="14">
      <t>キンリン</t>
    </rPh>
    <rPh sb="23" eb="27">
      <t>カイジョウユソウ</t>
    </rPh>
    <rPh sb="28" eb="32">
      <t>ゲンユカクホ</t>
    </rPh>
    <rPh sb="33" eb="35">
      <t>チョッケツ</t>
    </rPh>
    <rPh sb="37" eb="39">
      <t>モンダイ</t>
    </rPh>
    <rPh sb="40" eb="44">
      <t>ジュウヨウコウロ</t>
    </rPh>
    <rPh sb="45" eb="47">
      <t>イチ</t>
    </rPh>
    <rPh sb="53" eb="54">
      <t>ウゴ</t>
    </rPh>
    <rPh sb="69" eb="71">
      <t>エイキョウ</t>
    </rPh>
    <rPh sb="72" eb="73">
      <t>アタ</t>
    </rPh>
    <phoneticPr fontId="18"/>
  </si>
  <si>
    <t>https://www.bloomberg.com/news/articles/2026-04-14/india-s-modi-says-he-discussed-hormuz-strait-in-call-with-trump?srnd=phx-politics</t>
  </si>
  <si>
    <t>欧州にて対イスラエル圧力が強まり、安全保障協調や中東政策に緊張が波及する可能性。日本のエネルギー供給や外交調整にも影響が及ぶ可能性がある。</t>
    <rPh sb="36" eb="39">
      <t>カノウセイ</t>
    </rPh>
    <phoneticPr fontId="18"/>
  </si>
  <si>
    <t>https://www.bloomberg.com/news/articles/2026-04-14/italy-suspends-defense-pact-with-israel-in-rejection-of-iran-war?srnd=phx-politics</t>
  </si>
  <si>
    <t>スロベニアの総選挙が行われるも、与野党いずれも単独過半数を獲得できず、小党が連立の鍵を握る情勢となった</t>
    <rPh sb="10" eb="11">
      <t>オコナ</t>
    </rPh>
    <rPh sb="16" eb="19">
      <t>ヨヤトウ</t>
    </rPh>
    <phoneticPr fontId="18"/>
  </si>
  <si>
    <t>政局の不安定化は政策決定の遅れや対外姿勢の変化を招き、欧州での投資環境と対日関係にも影響を及ぼす可能性がある。</t>
    <phoneticPr fontId="18"/>
  </si>
  <si>
    <t>チャドはスーダンからの越境ドローン攻撃を受け反撃準備を命じ、かつ国境地帯の難民約2,300人を内陸に緊急移転させ、国境における警戒を強めた</t>
    <rPh sb="57" eb="59">
      <t>コッキョウ</t>
    </rPh>
    <rPh sb="63" eb="65">
      <t>ケイカイ</t>
    </rPh>
    <rPh sb="66" eb="67">
      <t>ツヨ</t>
    </rPh>
    <phoneticPr fontId="18"/>
  </si>
  <si>
    <t>国境での戦闘と難民移動は域内の不安定化と人道支援需要を強め、日本の人道支援や国際的な安全保障協力にも影響を与える可能性がある。</t>
    <phoneticPr fontId="18"/>
  </si>
  <si>
    <t>アメリカとコスタリカは、米国が他国から送還する移民をコスタリカが受け入れる合意に署名した。週最大25人がコスタリカに移送され、米国が資金支援を行う。</t>
    <rPh sb="58" eb="60">
      <t>イソウ</t>
    </rPh>
    <rPh sb="71" eb="72">
      <t>オコナ</t>
    </rPh>
    <phoneticPr fontId="18"/>
  </si>
  <si>
    <t>中米の移民負担を分散し、米国の移民政策の運用負担の軽減が見込まれる。日本への直接影響は限定的だが、国際移民管理と多国間支援の在り方に示唆を与える。</t>
    <rPh sb="28" eb="30">
      <t>ミコ</t>
    </rPh>
    <phoneticPr fontId="18"/>
  </si>
  <si>
    <t>香港政府が新法を制定し、警察にスマートフォンやコンピューターのパスワード提出を求める権限を付与した。これにより捜査当局は国家安全や重大犯罪の捜査でデジタル証拠へのアクセスを強化する。</t>
    <rPh sb="2" eb="4">
      <t>セイフ</t>
    </rPh>
    <rPh sb="8" eb="10">
      <t>セイテイ</t>
    </rPh>
    <phoneticPr fontId="18"/>
  </si>
  <si>
    <t>市民のプライバシー懸念が強まり、人権問題や対中投資判断、同国への渡航に影響を与える可能性がある。</t>
    <rPh sb="28" eb="30">
      <t>ドウコク</t>
    </rPh>
    <rPh sb="32" eb="34">
      <t>トコウ</t>
    </rPh>
    <phoneticPr fontId="18"/>
  </si>
  <si>
    <t>イスラエルの極右政党の大臣が南レバノンの併合を公に主張し、国土防衛と反テロをその理由に挙げた。声明は地域の軍事的緊張と国際的な非難を招いている。</t>
    <rPh sb="6" eb="10">
      <t>キョクウセイトウ</t>
    </rPh>
    <rPh sb="11" eb="13">
      <t>ダイジン</t>
    </rPh>
    <phoneticPr fontId="18"/>
  </si>
  <si>
    <t>中東地域での緊張が高まり、海上輸送やエネルギー価格への波及が懸念。日本の外交・経済にも負担を及ぼす恐れがある。</t>
    <rPh sb="0" eb="2">
      <t>チュウトウ</t>
    </rPh>
    <rPh sb="30" eb="32">
      <t>ケネン</t>
    </rPh>
    <phoneticPr fontId="18"/>
  </si>
  <si>
    <t>国民投票で与党が推進した司法改革案が否決され、メローニ首相の政治的影響力に打撃となった。投票率は約60%で反対が約54%を占めた。</t>
    <phoneticPr fontId="18"/>
  </si>
  <si>
    <t>メローニ政権の求心力低下が国内政局を不安定化させ、欧州での政策連携や対日関係にも影響を及ぼす可能性がある。</t>
    <phoneticPr fontId="18"/>
  </si>
  <si>
    <t>日本政府は2026年外交青書案にて、中国との関係を「最重要」との文言を外す方針を示し、対中政策を修正すると発表した。</t>
    <rPh sb="26" eb="29">
      <t>サイジュウヨウ</t>
    </rPh>
    <phoneticPr fontId="18"/>
  </si>
  <si>
    <t>文言変更は日中関係の見直しを意味し、経済安全保障の観点から中国で活動する日経企業にも影響が生じうる。</t>
    <rPh sb="10" eb="12">
      <t>ミナオ</t>
    </rPh>
    <rPh sb="25" eb="27">
      <t>カンテン</t>
    </rPh>
    <rPh sb="29" eb="31">
      <t>チュウゴク</t>
    </rPh>
    <rPh sb="32" eb="34">
      <t>カツドウ</t>
    </rPh>
    <rPh sb="36" eb="38">
      <t>ニッケイ</t>
    </rPh>
    <rPh sb="45" eb="46">
      <t>ショウ</t>
    </rPh>
    <phoneticPr fontId="18"/>
  </si>
  <si>
    <t>イスラエルが南レバノンの一部を「緩衝地帯」として分離する計画を進め、同地域のインフラや市民に被害が発生している。</t>
    <rPh sb="34" eb="35">
      <t>ドウ</t>
    </rPh>
    <rPh sb="43" eb="45">
      <t>シミン</t>
    </rPh>
    <phoneticPr fontId="18"/>
  </si>
  <si>
    <t>イスラエル軍による攻撃は中東地域における対立の構図を強め、地域の不安定化から中東からのエネルギー供給に影響の出る可能性がある。</t>
    <rPh sb="5" eb="6">
      <t>グン</t>
    </rPh>
    <rPh sb="9" eb="11">
      <t>コウゲキ</t>
    </rPh>
    <rPh sb="12" eb="16">
      <t>チュウトウチイキ</t>
    </rPh>
    <rPh sb="20" eb="22">
      <t>タイリツ</t>
    </rPh>
    <rPh sb="23" eb="25">
      <t>コウズ</t>
    </rPh>
    <rPh sb="26" eb="27">
      <t>ツヨ</t>
    </rPh>
    <rPh sb="29" eb="31">
      <t>チイキ</t>
    </rPh>
    <rPh sb="32" eb="36">
      <t>フアンテイカ</t>
    </rPh>
    <rPh sb="38" eb="40">
      <t>チュウトウ</t>
    </rPh>
    <rPh sb="51" eb="53">
      <t>エイキョウ</t>
    </rPh>
    <rPh sb="54" eb="55">
      <t>デ</t>
    </rPh>
    <rPh sb="56" eb="59">
      <t>カノウセイ</t>
    </rPh>
    <phoneticPr fontId="18"/>
  </si>
  <si>
    <t>EUとオーストラリアが包括的通商協定で合意し、関税の削減やサービス分野の市場開放、投資保護などの主要条項が発表された。</t>
    <rPh sb="33" eb="35">
      <t>ブンヤ</t>
    </rPh>
    <phoneticPr fontId="18"/>
  </si>
  <si>
    <t>新協定によりEUとオーストラリア間の貿易が活性化され、日本企業の国際競争にも影響を与え得る。</t>
    <rPh sb="18" eb="20">
      <t>ボウエキ</t>
    </rPh>
    <phoneticPr fontId="18"/>
  </si>
  <si>
    <t>メキシコ政府は、医療人材不足を補うためのキューバとの意思協定を維持すると表明し、同国の医療を支える姿勢を示した。</t>
    <rPh sb="26" eb="30">
      <t>イシキョウテイ</t>
    </rPh>
    <rPh sb="40" eb="42">
      <t>ドウコク</t>
    </rPh>
    <phoneticPr fontId="18"/>
  </si>
  <si>
    <t>キプロスが同国内にあるイギリス軍の基地について、イギリスと協議を開始したと発表。基地の運用や権限を巡る対話が開始される。</t>
    <rPh sb="7" eb="8">
      <t>ナイ</t>
    </rPh>
    <rPh sb="15" eb="16">
      <t>グン</t>
    </rPh>
    <rPh sb="37" eb="39">
      <t>ハッピョウ</t>
    </rPh>
    <rPh sb="54" eb="56">
      <t>カイシ</t>
    </rPh>
    <phoneticPr fontId="18"/>
  </si>
  <si>
    <t>地中海での安全保障協定が進めば、地中海における輸送航路の安定化が期待される。</t>
    <rPh sb="9" eb="11">
      <t>キョウテイ</t>
    </rPh>
    <rPh sb="16" eb="19">
      <t>チチュウカイ</t>
    </rPh>
    <rPh sb="23" eb="27">
      <t>ユソウコウロ</t>
    </rPh>
    <rPh sb="28" eb="31">
      <t>アンテイカ</t>
    </rPh>
    <rPh sb="32" eb="34">
      <t>キタイ</t>
    </rPh>
    <phoneticPr fontId="18"/>
  </si>
  <si>
    <t>デンマーク首相が辞任表明</t>
    <phoneticPr fontId="18"/>
  </si>
  <si>
    <t>デンマークのフリデリクセン首相は選挙での敗北を受け辞任を表明。政権移行の手続きと新政権樹立の準備が始まる</t>
    <rPh sb="25" eb="27">
      <t>ジニン</t>
    </rPh>
    <rPh sb="28" eb="30">
      <t>ヒョウメイ</t>
    </rPh>
    <rPh sb="31" eb="33">
      <t>セイケン</t>
    </rPh>
    <phoneticPr fontId="18"/>
  </si>
  <si>
    <t>政権交代はデンマークの国内外の政策見直しを招き、北欧諸国との協調やEU政策に影響を与える可能性がある。</t>
    <rPh sb="13" eb="14">
      <t>ソト</t>
    </rPh>
    <phoneticPr fontId="18"/>
  </si>
  <si>
    <t>イギリスとトルコが戦闘機20機の導入に向けた訓練・支援契約に署名、総額80億ポンドの合意を前進させた。</t>
    <rPh sb="9" eb="12">
      <t>セントウキ</t>
    </rPh>
    <rPh sb="30" eb="32">
      <t>ショメイ</t>
    </rPh>
    <phoneticPr fontId="18"/>
  </si>
  <si>
    <t>イギリスとトルコが防空協定に署名</t>
    <rPh sb="9" eb="11">
      <t>ボウクウ</t>
    </rPh>
    <phoneticPr fontId="18"/>
  </si>
  <si>
    <t>NATO東側の防空強化につながり、欧州の防衛産業と安全保障協力の流れを後押しする。日本の装備調達議論にも参考になりうる。</t>
    <phoneticPr fontId="18"/>
  </si>
  <si>
    <t>ケニアのルト大統領は、中国との貿易交渉がまとまり、ケニアの輸出品の98％に関税ゼロを認める最終的な合意が取られたと発表した</t>
    <rPh sb="31" eb="32">
      <t>ヒン</t>
    </rPh>
    <rPh sb="45" eb="47">
      <t>サイシュウ</t>
    </rPh>
    <rPh sb="47" eb="48">
      <t>テキ</t>
    </rPh>
    <rPh sb="49" eb="51">
      <t>ゴウイ</t>
    </rPh>
    <rPh sb="52" eb="53">
      <t>ト</t>
    </rPh>
    <rPh sb="57" eb="59">
      <t>ハッピョウ</t>
    </rPh>
    <phoneticPr fontId="18"/>
  </si>
  <si>
    <t>中国のアフリカ進出が一段と進み、資源や市場をめぐる競争が強まる。日本企業のアフリカ展開にも影響しうる。</t>
    <phoneticPr fontId="18"/>
  </si>
  <si>
    <t>トランプ大統領は、拘束中のベネズエラのマドゥロ氏について、追加の訴追を進めると表明した。</t>
    <rPh sb="39" eb="41">
      <t>ヒョウメイ</t>
    </rPh>
    <phoneticPr fontId="18"/>
  </si>
  <si>
    <t>アメリカの対ベネズエラ圧力が強まれば、移民問題や原油市場の不安定化が続き、日本にも間接的な影響が及ぶ。</t>
    <phoneticPr fontId="18"/>
  </si>
  <si>
    <t>パキスタン外務省は、アフガニスタンへの軍事行動を再開したと発表し、停戦への期待が後退した。</t>
    <phoneticPr fontId="18"/>
  </si>
  <si>
    <t>イラン情勢を含めた中東から南アジア地域での緊張拡大が危惧される。物流に影響が出るほか、日本企業の中東やアジアにおける事業にもリスク要因となる。</t>
    <rPh sb="3" eb="5">
      <t>ジョウセイ</t>
    </rPh>
    <rPh sb="6" eb="7">
      <t>フク</t>
    </rPh>
    <rPh sb="9" eb="11">
      <t>チュウトウ</t>
    </rPh>
    <rPh sb="17" eb="19">
      <t>チイキ</t>
    </rPh>
    <rPh sb="21" eb="23">
      <t>キンチョウ</t>
    </rPh>
    <rPh sb="23" eb="25">
      <t>カクダイ</t>
    </rPh>
    <rPh sb="26" eb="28">
      <t>キグ</t>
    </rPh>
    <rPh sb="35" eb="37">
      <t>エイキョウ</t>
    </rPh>
    <rPh sb="38" eb="39">
      <t>デ</t>
    </rPh>
    <phoneticPr fontId="18"/>
  </si>
  <si>
    <t>トランプ大統領は、イランの要請を受けてエネルギー施設への攻撃を10日間止めるとし、停戦交渉は順調だと述べた。イラン側はアメリカ側の停戦案を不公平だと批判した。</t>
    <rPh sb="63" eb="64">
      <t>ガワ</t>
    </rPh>
    <rPh sb="65" eb="68">
      <t>テイセンアン</t>
    </rPh>
    <phoneticPr fontId="18"/>
  </si>
  <si>
    <t>中東の緊張が和らげば原油高の圧力は弱まるが、交渉が崩れれば日本のエネルギー輸入コスト高が危惧される。</t>
    <rPh sb="42" eb="43">
      <t>ダカ</t>
    </rPh>
    <rPh sb="44" eb="46">
      <t>キグ</t>
    </rPh>
    <phoneticPr fontId="18"/>
  </si>
  <si>
    <t>パキスタンの要請により、イランのアラグチ外相とカリバフ議長がアメリカとイスラエルの攻撃対象から外された。</t>
    <rPh sb="6" eb="8">
      <t>ヨウセイ</t>
    </rPh>
    <phoneticPr fontId="18"/>
  </si>
  <si>
    <t>パキスタンの仲介による対話継続により停戦成立が期待されるが状況は不透明。</t>
    <rPh sb="6" eb="8">
      <t>チュウカイ</t>
    </rPh>
    <rPh sb="11" eb="15">
      <t>タイワケイゾク</t>
    </rPh>
    <rPh sb="18" eb="22">
      <t>テイセンセイリツ</t>
    </rPh>
    <rPh sb="23" eb="25">
      <t>キタイ</t>
    </rPh>
    <rPh sb="29" eb="31">
      <t>ジョウキョウ</t>
    </rPh>
    <rPh sb="32" eb="35">
      <t>フトウメイ</t>
    </rPh>
    <phoneticPr fontId="18"/>
  </si>
  <si>
    <t>ゼレンスキー大統領は、国際的なロシアへの石油制裁が緩んだ後も、長距離攻撃で石油施設を狙い圧力をかけ続ける方針だと述べた。</t>
    <rPh sb="13" eb="14">
      <t>テキ</t>
    </rPh>
    <rPh sb="49" eb="50">
      <t>ツヅ</t>
    </rPh>
    <phoneticPr fontId="18"/>
  </si>
  <si>
    <t>ロシア産原油の輸出混乱はエネルギー価格を押し上げやすく、資源輸入国の日本にはコスト上昇圧力となる。</t>
    <phoneticPr fontId="18"/>
  </si>
  <si>
    <t>対キューバ圧力が強まれば中南米の緊張が増し、資源市場や日系企業の南米事業にも波及しうる。</t>
    <phoneticPr fontId="18"/>
  </si>
  <si>
    <t>カナダがメルコスールとの自由貿易協定締結に向けた交渉加速を表明。2026年9～10月の署名と年内の合意が目標であると発表される。</t>
    <rPh sb="12" eb="18">
      <t>ジユウボウエキキョウテイ</t>
    </rPh>
    <rPh sb="18" eb="20">
      <t>テイケツ</t>
    </rPh>
    <rPh sb="21" eb="22">
      <t>ム</t>
    </rPh>
    <rPh sb="29" eb="31">
      <t>ヒョウメイ</t>
    </rPh>
    <rPh sb="52" eb="54">
      <t>モクヒョウ</t>
    </rPh>
    <rPh sb="58" eb="60">
      <t>ハッピョウ</t>
    </rPh>
    <phoneticPr fontId="18"/>
  </si>
  <si>
    <t>アメリカとカナダの関係悪化により、北米と南米における新たな貿易協定の締結の可能性。サプライチェーン再編が進み日本企業の進出戦略やサプライチェーンにも影響。</t>
    <rPh sb="9" eb="13">
      <t>カンケイアッカ</t>
    </rPh>
    <rPh sb="26" eb="27">
      <t>アラ</t>
    </rPh>
    <rPh sb="29" eb="33">
      <t>ボウエキキョウテイ</t>
    </rPh>
    <rPh sb="34" eb="36">
      <t>テイケツ</t>
    </rPh>
    <rPh sb="37" eb="40">
      <t>カノウセイ</t>
    </rPh>
    <rPh sb="59" eb="63">
      <t>シンシュツセンリャク</t>
    </rPh>
    <rPh sb="74" eb="76">
      <t>エイキョウ</t>
    </rPh>
    <phoneticPr fontId="18"/>
  </si>
  <si>
    <t>EUとCPTPP参加国は、越境ECやデータ流通を含むデジタル貿易協定の協議を進めることで一致。カナダの貿易相は歴史的合意になりうると述べた。</t>
    <phoneticPr fontId="18"/>
  </si>
  <si>
    <t>日本を含むCPTPP域内でデジタル取引の標準化が進めば、越境ECやデータ連携がしやすくなり、日本企業にも追い風となる。</t>
    <phoneticPr fontId="18"/>
  </si>
  <si>
    <t>シャハ氏がネパール首相に就任。雇用創出と政治的安定の回復が期待される。若者世代の抗議活動による政治的変動から、再建を進める局面に入った。</t>
    <rPh sb="22" eb="23">
      <t>テキ</t>
    </rPh>
    <rPh sb="29" eb="31">
      <t>キタイ</t>
    </rPh>
    <rPh sb="35" eb="37">
      <t>ワカモノ</t>
    </rPh>
    <rPh sb="42" eb="44">
      <t>カツドウ</t>
    </rPh>
    <rPh sb="47" eb="52">
      <t>セイジテキヘンドウ</t>
    </rPh>
    <phoneticPr fontId="18"/>
  </si>
  <si>
    <t>ネパールの政局が安定すれば南アジアの不確実性は和らぐが、混乱が続けば周辺国との経済関係にも響く可能性。</t>
    <rPh sb="47" eb="50">
      <t>カノウセイ</t>
    </rPh>
    <phoneticPr fontId="18"/>
  </si>
  <si>
    <t>金正恩総書記とルカシェンコ大統領が平壌で会談し、友好条約と外交・農業・教育・公衆衛生などの協力文書に署名。両国関係が格上げされた。</t>
    <rPh sb="3" eb="6">
      <t>ソウショキ</t>
    </rPh>
    <rPh sb="58" eb="60">
      <t>カクア</t>
    </rPh>
    <phoneticPr fontId="18"/>
  </si>
  <si>
    <t>北朝鮮の対外連携が広がれば制裁による包囲網の効果が弱まり、東アジアの安全保障に不安が残る。</t>
    <rPh sb="22" eb="24">
      <t>コウカ</t>
    </rPh>
    <phoneticPr fontId="18"/>
  </si>
  <si>
    <t>ウクライナとサウジアラビアが防衛協力協定を結び、将来の契約や技術協力、投資の土台になるとゼレンスキー大統領が表明。アメリカの支援不透明感が強まる中、湾岸地域での支持を広げる狙いがある。</t>
    <rPh sb="14" eb="16">
      <t>ボウエイ</t>
    </rPh>
    <rPh sb="16" eb="18">
      <t>キョウリョク</t>
    </rPh>
    <rPh sb="18" eb="20">
      <t>キョウテイ</t>
    </rPh>
    <rPh sb="21" eb="22">
      <t>ムス</t>
    </rPh>
    <rPh sb="24" eb="26">
      <t>ショウライ</t>
    </rPh>
    <rPh sb="27" eb="29">
      <t>ケイヤク</t>
    </rPh>
    <rPh sb="30" eb="32">
      <t>ギジュツ</t>
    </rPh>
    <rPh sb="32" eb="34">
      <t>キョウリョク</t>
    </rPh>
    <rPh sb="35" eb="37">
      <t>トウシ</t>
    </rPh>
    <rPh sb="38" eb="40">
      <t>ドダイ</t>
    </rPh>
    <rPh sb="50" eb="53">
      <t>ダイトウリョウ</t>
    </rPh>
    <rPh sb="54" eb="56">
      <t>ヒョウメイ</t>
    </rPh>
    <rPh sb="62" eb="64">
      <t>シエン</t>
    </rPh>
    <rPh sb="64" eb="68">
      <t>フトウメイカン</t>
    </rPh>
    <rPh sb="69" eb="70">
      <t>ツヨ</t>
    </rPh>
    <rPh sb="72" eb="73">
      <t>ナカ</t>
    </rPh>
    <rPh sb="74" eb="76">
      <t>ワンガン</t>
    </rPh>
    <rPh sb="76" eb="78">
      <t>チイキ</t>
    </rPh>
    <rPh sb="80" eb="82">
      <t>シジ</t>
    </rPh>
    <rPh sb="83" eb="84">
      <t>ヒロ</t>
    </rPh>
    <rPh sb="86" eb="87">
      <t>ネラ</t>
    </rPh>
    <phoneticPr fontId="18"/>
  </si>
  <si>
    <t>支援の軸が欧米以外にも広がれば、ロシアとの戦争の長期化への備えと、中東における外交の再編が進む。日本にも原油や安全保障面での影響が及ぶ可能性あり。</t>
    <rPh sb="55" eb="59">
      <t>アンゼンホショウ</t>
    </rPh>
    <rPh sb="59" eb="60">
      <t>メン</t>
    </rPh>
    <rPh sb="67" eb="70">
      <t>カノウセイ</t>
    </rPh>
    <phoneticPr fontId="18"/>
  </si>
  <si>
    <t>コンゴ民主共和国は中国と鉱山分野の協力を深める合意を締結。コバルトの最大産地をめぐり、米中が影響力を競う構図が強まっている。</t>
    <rPh sb="26" eb="28">
      <t>テイケツ</t>
    </rPh>
    <phoneticPr fontId="18"/>
  </si>
  <si>
    <t>リチウムイオン電池の原料の供給網に直結するため、日本のEVや蓄電池産業の調達先分散にも関係しうる。</t>
    <rPh sb="43" eb="45">
      <t>カンケイ</t>
    </rPh>
    <phoneticPr fontId="18"/>
  </si>
  <si>
    <t>フィリピンと中国が南シナ海をめぐる高官協議を約1年ぶりに再開。石油や天然ガス調達における協力や、エネルギー・肥料の供給安定を協議した。比マルコス大統領が国家エネルギー非常事態を宣言した直後の対話。</t>
    <rPh sb="6" eb="8">
      <t>チュウゴク</t>
    </rPh>
    <rPh sb="9" eb="10">
      <t>ミナミ</t>
    </rPh>
    <rPh sb="12" eb="13">
      <t>カイ</t>
    </rPh>
    <rPh sb="17" eb="19">
      <t>コウカン</t>
    </rPh>
    <rPh sb="19" eb="21">
      <t>キョウギ</t>
    </rPh>
    <rPh sb="22" eb="23">
      <t>ヤク</t>
    </rPh>
    <rPh sb="24" eb="25">
      <t>ネン</t>
    </rPh>
    <rPh sb="28" eb="30">
      <t>サイカイ</t>
    </rPh>
    <rPh sb="31" eb="33">
      <t>セキユ</t>
    </rPh>
    <rPh sb="34" eb="36">
      <t>テンネン</t>
    </rPh>
    <rPh sb="38" eb="40">
      <t>チョウタツ</t>
    </rPh>
    <rPh sb="44" eb="46">
      <t>キョウリョク</t>
    </rPh>
    <rPh sb="54" eb="56">
      <t>ヒリョウ</t>
    </rPh>
    <rPh sb="57" eb="59">
      <t>キョウキュウ</t>
    </rPh>
    <rPh sb="59" eb="61">
      <t>アンテイ</t>
    </rPh>
    <rPh sb="62" eb="64">
      <t>キョウギ</t>
    </rPh>
    <rPh sb="67" eb="68">
      <t>ヒ</t>
    </rPh>
    <rPh sb="72" eb="75">
      <t>ダイトウリョウ</t>
    </rPh>
    <rPh sb="76" eb="78">
      <t>コッカ</t>
    </rPh>
    <rPh sb="83" eb="85">
      <t>ヒジョウ</t>
    </rPh>
    <rPh sb="85" eb="87">
      <t>ジタイ</t>
    </rPh>
    <rPh sb="88" eb="90">
      <t>センゲン</t>
    </rPh>
    <rPh sb="92" eb="94">
      <t>チョクゴ</t>
    </rPh>
    <rPh sb="95" eb="97">
      <t>タイワ</t>
    </rPh>
    <phoneticPr fontId="18"/>
  </si>
  <si>
    <t>海上摩擦の緩和は海運とエネルギー市場の安定に寄与し、日本の燃料調達リスクの抑制にもつながる。</t>
    <phoneticPr fontId="18"/>
  </si>
  <si>
    <t>インドネシアが16歳未満のSNS利用を制限する新ルールを開始。運用方法にはなお不透明さが残る。</t>
    <rPh sb="28" eb="30">
      <t>カイシ</t>
    </rPh>
    <phoneticPr fontId="18"/>
  </si>
  <si>
    <t>未成年への保護強化は、アジアのSNS事業者に年齢確認と監視強化を迫り、日本の規制議論にも影響が起きうる。</t>
    <rPh sb="47" eb="48">
      <t>オ</t>
    </rPh>
    <phoneticPr fontId="18"/>
  </si>
  <si>
    <t>ウクライナがUAEと防衛分野で協力に合意。カタールともミサイルや無人機対策を含む協定を結んだ。ゼレンスキー大統領は湾岸歴訪で支援の幅を広げようとしている。</t>
    <phoneticPr fontId="18"/>
  </si>
  <si>
    <t>ウクライナと湾岸諸国との結びつきが強まることで欧米中心の同国への支援が多角化が期待。中東を含む国際秩序の変化は日本の経済外交にも関係が及びうる。</t>
    <rPh sb="23" eb="27">
      <t>オウベイチュウシン</t>
    </rPh>
    <rPh sb="28" eb="30">
      <t>ドウコク</t>
    </rPh>
    <rPh sb="32" eb="34">
      <t>シエン</t>
    </rPh>
    <rPh sb="35" eb="38">
      <t>タカクカ</t>
    </rPh>
    <rPh sb="39" eb="41">
      <t>キタイ</t>
    </rPh>
    <rPh sb="58" eb="62">
      <t>ケイザイガイコウ</t>
    </rPh>
    <rPh sb="64" eb="66">
      <t>カンケイ</t>
    </rPh>
    <phoneticPr fontId="18"/>
  </si>
  <si>
    <t>ネパール警察が前首相のオリ氏を逮捕。2025年9月の反汚職デモで多数の死者が出た対応を巡っての逮捕となる。</t>
    <rPh sb="4" eb="6">
      <t>ケイサツ</t>
    </rPh>
    <rPh sb="7" eb="10">
      <t>ゼンシュショウ</t>
    </rPh>
    <rPh sb="13" eb="14">
      <t>ウジ</t>
    </rPh>
    <rPh sb="15" eb="17">
      <t>タイホ</t>
    </rPh>
    <rPh sb="22" eb="23">
      <t>ネン</t>
    </rPh>
    <rPh sb="24" eb="25">
      <t>ガツ</t>
    </rPh>
    <rPh sb="26" eb="27">
      <t>ハン</t>
    </rPh>
    <rPh sb="27" eb="29">
      <t>オショク</t>
    </rPh>
    <rPh sb="32" eb="34">
      <t>タスウ</t>
    </rPh>
    <rPh sb="35" eb="37">
      <t>シシャ</t>
    </rPh>
    <rPh sb="38" eb="39">
      <t>デ</t>
    </rPh>
    <rPh sb="40" eb="42">
      <t>タイオウ</t>
    </rPh>
    <rPh sb="43" eb="44">
      <t>メグ</t>
    </rPh>
    <rPh sb="47" eb="49">
      <t>タイホ</t>
    </rPh>
    <phoneticPr fontId="18"/>
  </si>
  <si>
    <t>パキスタンがイラン紛争の終結に向けた協議準備を進める一方、フーシ派がイスラエルへの攻撃に加わり、紅海周辺の海上輸送リスクが高まった。</t>
    <phoneticPr fontId="18"/>
  </si>
  <si>
    <t>中東の戦火が海路に広がれば原油と輸送費が上がり、日本のエネルギー調達にも直結する。</t>
    <phoneticPr fontId="18"/>
  </si>
  <si>
    <t>ウクライナのゼレンスキー大統領はヨルダンのアブドラ国王と会談し、ドローン攻撃への対処を含む安全保障協力を協議。中東・湾岸地域での支援拡大を狙う。</t>
    <rPh sb="12" eb="15">
      <t>ダイトウリョウ</t>
    </rPh>
    <rPh sb="25" eb="27">
      <t>コクオウ</t>
    </rPh>
    <rPh sb="28" eb="30">
      <t>カイダン</t>
    </rPh>
    <rPh sb="36" eb="38">
      <t>コウゲキ</t>
    </rPh>
    <rPh sb="40" eb="42">
      <t>タイショ</t>
    </rPh>
    <rPh sb="43" eb="44">
      <t>フク</t>
    </rPh>
    <rPh sb="45" eb="47">
      <t>アンゼン</t>
    </rPh>
    <rPh sb="47" eb="49">
      <t>ホショウ</t>
    </rPh>
    <rPh sb="49" eb="51">
      <t>キョウリョク</t>
    </rPh>
    <rPh sb="52" eb="54">
      <t>キョウギ</t>
    </rPh>
    <rPh sb="55" eb="57">
      <t>チュウトウ</t>
    </rPh>
    <rPh sb="58" eb="60">
      <t>ワンガン</t>
    </rPh>
    <rPh sb="60" eb="62">
      <t>チイキ</t>
    </rPh>
    <rPh sb="64" eb="66">
      <t>シエン</t>
    </rPh>
    <rPh sb="66" eb="68">
      <t>カクダイ</t>
    </rPh>
    <rPh sb="69" eb="70">
      <t>ネラ</t>
    </rPh>
    <phoneticPr fontId="18"/>
  </si>
  <si>
    <t>湾岸諸国の関与が深まれば、ウクライナ支援の裾野が広がり、軍事技術協力の流れも変わる可能性。</t>
    <rPh sb="38" eb="39">
      <t>カ</t>
    </rPh>
    <rPh sb="41" eb="44">
      <t>カノウセイ</t>
    </rPh>
    <phoneticPr fontId="18"/>
  </si>
  <si>
    <t>アラブ諸国の外相らは、エジプトの外交官であるファヒミ氏をアラブ連盟事務総長に全会一致で指名した。</t>
    <phoneticPr fontId="18"/>
  </si>
  <si>
    <t>中東外交の調整役の交代により、ガザ地区やイランをめぐる地域対話の進め方に影響が出る。</t>
    <rPh sb="17" eb="19">
      <t>チク</t>
    </rPh>
    <phoneticPr fontId="18"/>
  </si>
  <si>
    <t>ロシアが燃料不足のキューバへ原油を輸送し、深刻な人道危機を一時的にしのいだ。アメリカは同国への輸送を認めており、制裁運用の見方が分かれている。</t>
    <rPh sb="17" eb="19">
      <t>ユソウ</t>
    </rPh>
    <rPh sb="43" eb="45">
      <t>ドウコク</t>
    </rPh>
    <phoneticPr fontId="18"/>
  </si>
  <si>
    <t>キューバの原油調達が滞れば同国の政権が動揺しかねない事態が起きうる。</t>
    <rPh sb="5" eb="9">
      <t>ゲンユチョウタツ</t>
    </rPh>
    <rPh sb="10" eb="11">
      <t>トドコオ</t>
    </rPh>
    <rPh sb="13" eb="15">
      <t>ドウコク</t>
    </rPh>
    <rPh sb="16" eb="18">
      <t>セイケン</t>
    </rPh>
    <rPh sb="19" eb="21">
      <t>ドウヨウ</t>
    </rPh>
    <rPh sb="26" eb="28">
      <t>ジタイ</t>
    </rPh>
    <rPh sb="29" eb="30">
      <t>オ</t>
    </rPh>
    <phoneticPr fontId="18"/>
  </si>
  <si>
    <t>レバノン南部で、インドネシア出身の国連平和維持部隊の兵士3人が死亡。イスラエル軍の攻撃が続く中、UNIFILの安全が改めて問われている。</t>
    <rPh sb="23" eb="25">
      <t>ブタイ</t>
    </rPh>
    <rPh sb="26" eb="28">
      <t>ヘイシ</t>
    </rPh>
    <phoneticPr fontId="18"/>
  </si>
  <si>
    <t>国連平和維持軍への被害拡大は、レバノン情勢の悪化を示し、中東の緊張と不安を長引かせる。</t>
    <rPh sb="2" eb="7">
      <t>ヘイワイジグン</t>
    </rPh>
    <phoneticPr fontId="18"/>
  </si>
  <si>
    <t>ロシアは経済スパイ活動に関与したとしてイギリスの外交官を追放。イギリスは容認できないと強く反発した。</t>
    <rPh sb="28" eb="30">
      <t>ツイホウ</t>
    </rPh>
    <rPh sb="43" eb="44">
      <t>ツヨ</t>
    </rPh>
    <phoneticPr fontId="18"/>
  </si>
  <si>
    <t>英露の対立が続けば、ウクライナ戦争をめぐる欧州の緊張がさらに強まり、対露制裁の流れにも影響する。</t>
    <phoneticPr fontId="18"/>
  </si>
  <si>
    <t>アフガニスタンとパキスタンで豪雨と洪水が発生し、合わせて45人が死亡。アフガンでは約130棟の建物が倒壊し、パキスタンでも多くの子どもが犠牲になった。</t>
    <rPh sb="14" eb="16">
      <t>ゴウウ</t>
    </rPh>
    <rPh sb="17" eb="19">
      <t>コウズイ</t>
    </rPh>
    <rPh sb="20" eb="22">
      <t>ハッセイ</t>
    </rPh>
    <rPh sb="24" eb="25">
      <t>ア</t>
    </rPh>
    <rPh sb="30" eb="31">
      <t>ニン</t>
    </rPh>
    <rPh sb="32" eb="34">
      <t>シボウ</t>
    </rPh>
    <rPh sb="41" eb="42">
      <t>ヤク</t>
    </rPh>
    <rPh sb="45" eb="46">
      <t>トウ</t>
    </rPh>
    <rPh sb="47" eb="49">
      <t>タテモノ</t>
    </rPh>
    <rPh sb="50" eb="52">
      <t>トウカイ</t>
    </rPh>
    <rPh sb="61" eb="62">
      <t>オオ</t>
    </rPh>
    <rPh sb="64" eb="65">
      <t>コ</t>
    </rPh>
    <rPh sb="68" eb="70">
      <t>ギセイ</t>
    </rPh>
    <phoneticPr fontId="18"/>
  </si>
  <si>
    <t>コソボ政府は、アメリカ主導の平和評議会の一員として、ガザへの部隊派遣を承認した。ガザ地区における停戦後の治安維持と暫定統治を支える構想の一部となる。</t>
    <rPh sb="14" eb="19">
      <t>ヘイワヒョウギカイ</t>
    </rPh>
    <rPh sb="42" eb="44">
      <t>チク</t>
    </rPh>
    <phoneticPr fontId="18"/>
  </si>
  <si>
    <t>アフガニスタンとパキスタンとの間で、停戦期間中に重火器での交戦が発生し、国境地帯の緊張が再び高まった。</t>
    <rPh sb="15" eb="16">
      <t>アイダ</t>
    </rPh>
    <rPh sb="18" eb="20">
      <t>テイセン</t>
    </rPh>
    <rPh sb="20" eb="23">
      <t>キカンチュウ</t>
    </rPh>
    <rPh sb="24" eb="27">
      <t>ジュウカキ</t>
    </rPh>
    <rPh sb="29" eb="31">
      <t>コウセン</t>
    </rPh>
    <rPh sb="32" eb="34">
      <t>ハッセイ</t>
    </rPh>
    <rPh sb="36" eb="38">
      <t>コッキョウ</t>
    </rPh>
    <rPh sb="38" eb="40">
      <t>チタイ</t>
    </rPh>
    <rPh sb="41" eb="43">
      <t>キンチョウ</t>
    </rPh>
    <rPh sb="44" eb="45">
      <t>フタタ</t>
    </rPh>
    <rPh sb="46" eb="47">
      <t>タカ</t>
    </rPh>
    <phoneticPr fontId="18"/>
  </si>
  <si>
    <t>国境衝突が続けば地域貿易や物流が不安定化し、南アジアの安全保障にも悪影響が及ぶ。</t>
    <phoneticPr fontId="18"/>
  </si>
  <si>
    <t>アメリカはベネズエラの首都カラカスの大使館を正式に再開し、ベネズエラとの関係正常化を進めた。制裁緩和や投資の促進、ベネズエラ産原油の扱いが焦点になっている。</t>
    <rPh sb="11" eb="13">
      <t>シュト</t>
    </rPh>
    <phoneticPr fontId="18"/>
  </si>
  <si>
    <t>対ベネズエラ政策の変化は原油市場と制裁の運用に響き、日本のエネルギー価格にも間接的な影響を及ぼす。</t>
    <phoneticPr fontId="18"/>
  </si>
  <si>
    <t>エジプトとキプロスは、キプロスのガス資源開発とエジプトへのガス供給を見据えた協力枠組みを締結。</t>
    <rPh sb="44" eb="46">
      <t>テイケツ</t>
    </rPh>
    <phoneticPr fontId="18"/>
  </si>
  <si>
    <t>LNGや海上輸送の安定化につながれば、日本のエネルギー調達にも追い風となる一方、同地域での資源開発を進めるトルコとの対立が気がかり。</t>
    <rPh sb="37" eb="39">
      <t>イッポウ</t>
    </rPh>
    <rPh sb="40" eb="43">
      <t>ドウチイキ</t>
    </rPh>
    <rPh sb="45" eb="49">
      <t>シゲンカイハツ</t>
    </rPh>
    <rPh sb="50" eb="51">
      <t>スス</t>
    </rPh>
    <rPh sb="58" eb="60">
      <t>タイリツ</t>
    </rPh>
    <rPh sb="61" eb="62">
      <t>キ</t>
    </rPh>
    <phoneticPr fontId="18"/>
  </si>
  <si>
    <t>ソマリア国軍が南西州最大都市バイドアの制圧に動き、同州政府のラフタガレーン首相が辞任。ソマリア政府と地方との対立が改めて表面化した。</t>
    <rPh sb="4" eb="6">
      <t>コクグン</t>
    </rPh>
    <rPh sb="7" eb="9">
      <t>ナンセイ</t>
    </rPh>
    <rPh sb="9" eb="10">
      <t>シュウ</t>
    </rPh>
    <rPh sb="10" eb="12">
      <t>サイダイ</t>
    </rPh>
    <rPh sb="12" eb="14">
      <t>トシ</t>
    </rPh>
    <rPh sb="19" eb="21">
      <t>セイアツ</t>
    </rPh>
    <rPh sb="22" eb="23">
      <t>ウゴ</t>
    </rPh>
    <rPh sb="25" eb="26">
      <t>ドウ</t>
    </rPh>
    <rPh sb="26" eb="29">
      <t>シュウセイフ</t>
    </rPh>
    <rPh sb="37" eb="39">
      <t>シュショウ</t>
    </rPh>
    <rPh sb="40" eb="42">
      <t>ジニン</t>
    </rPh>
    <rPh sb="47" eb="49">
      <t>セイフ</t>
    </rPh>
    <rPh sb="50" eb="52">
      <t>チホウ</t>
    </rPh>
    <rPh sb="54" eb="56">
      <t>タイリツ</t>
    </rPh>
    <rPh sb="57" eb="58">
      <t>アラタ</t>
    </rPh>
    <rPh sb="60" eb="63">
      <t>ヒョウメンカ</t>
    </rPh>
    <phoneticPr fontId="18"/>
  </si>
  <si>
    <t>アフリカの角における治安悪化が続くことで、紅海における航路が不安定化する可能性。日本の資源調達や貿易面でも影響が生じうる。</t>
    <rPh sb="5" eb="6">
      <t>ツノ</t>
    </rPh>
    <rPh sb="21" eb="23">
      <t>コウカイ</t>
    </rPh>
    <rPh sb="27" eb="29">
      <t>コウロ</t>
    </rPh>
    <rPh sb="30" eb="34">
      <t>フアンテイカ</t>
    </rPh>
    <rPh sb="36" eb="39">
      <t>カノウセイ</t>
    </rPh>
    <rPh sb="40" eb="42">
      <t>ニホン</t>
    </rPh>
    <rPh sb="45" eb="47">
      <t>チョウタツ</t>
    </rPh>
    <rPh sb="53" eb="55">
      <t>エイキョウ</t>
    </rPh>
    <rPh sb="56" eb="57">
      <t>ショウ</t>
    </rPh>
    <phoneticPr fontId="18"/>
  </si>
  <si>
    <t>イランは、革命防衛隊の海軍司令官であるタンサリ氏の死亡を発表。イスラエルはすでに同司令官を攻撃で排除したと主張していた。</t>
    <rPh sb="28" eb="30">
      <t>ハッピョウ</t>
    </rPh>
    <phoneticPr fontId="18"/>
  </si>
  <si>
    <t>イスラエルとイランの間での報復合戦が続き、地域の不安定化と原油市場への影響が危惧される。</t>
    <rPh sb="10" eb="11">
      <t>アイダ</t>
    </rPh>
    <rPh sb="15" eb="17">
      <t>ガッセン</t>
    </rPh>
    <rPh sb="18" eb="19">
      <t>ツヅ</t>
    </rPh>
    <rPh sb="21" eb="23">
      <t>チイキ</t>
    </rPh>
    <rPh sb="24" eb="28">
      <t>フアンテイカ</t>
    </rPh>
    <rPh sb="29" eb="33">
      <t>ゲンユシジョウ</t>
    </rPh>
    <rPh sb="35" eb="37">
      <t>エイキョウ</t>
    </rPh>
    <rPh sb="38" eb="40">
      <t>キグ</t>
    </rPh>
    <phoneticPr fontId="18"/>
  </si>
  <si>
    <t>パラグアイのフェルナンデス財務相が辞任。ガレアノ氏が暫定財務相を務めることになった。</t>
    <rPh sb="13" eb="16">
      <t>ザイムショウ</t>
    </rPh>
    <rPh sb="17" eb="19">
      <t>ジニン</t>
    </rPh>
    <rPh sb="24" eb="25">
      <t>シ</t>
    </rPh>
    <rPh sb="26" eb="28">
      <t>ザンテイ</t>
    </rPh>
    <rPh sb="28" eb="31">
      <t>ザイムショウ</t>
    </rPh>
    <rPh sb="32" eb="33">
      <t>ツト</t>
    </rPh>
    <phoneticPr fontId="18"/>
  </si>
  <si>
    <t>米海軍が3隻目の空母を中東地域へ派遣。イラン戦争の長期化に備える動きとみられる。</t>
    <rPh sb="5" eb="7">
      <t>セキメ</t>
    </rPh>
    <rPh sb="8" eb="10">
      <t>クウボ</t>
    </rPh>
    <rPh sb="11" eb="15">
      <t>チュウトウチイキ</t>
    </rPh>
    <rPh sb="16" eb="18">
      <t>ハケン</t>
    </rPh>
    <phoneticPr fontId="18"/>
  </si>
  <si>
    <t>中東における軍事的圧力が強まれば海上輸送と原油価格の高騰が懸念される。</t>
    <rPh sb="0" eb="2">
      <t>チュウトウ</t>
    </rPh>
    <rPh sb="26" eb="28">
      <t>コウトウ</t>
    </rPh>
    <rPh sb="29" eb="31">
      <t>ケネン</t>
    </rPh>
    <phoneticPr fontId="18"/>
  </si>
  <si>
    <t>英スターマー首相は、ロンドンでシリアシャラア大統領と会談。移民対策や国境警備、密航組織への対応を協議した。</t>
    <rPh sb="0" eb="1">
      <t>エイ</t>
    </rPh>
    <rPh sb="6" eb="8">
      <t>シュショウ</t>
    </rPh>
    <rPh sb="22" eb="25">
      <t>ダイトウリョウ</t>
    </rPh>
    <rPh sb="26" eb="28">
      <t>カイダン</t>
    </rPh>
    <rPh sb="29" eb="31">
      <t>イミン</t>
    </rPh>
    <rPh sb="31" eb="33">
      <t>タイサク</t>
    </rPh>
    <rPh sb="34" eb="36">
      <t>コッキョウ</t>
    </rPh>
    <rPh sb="36" eb="38">
      <t>ケイビ</t>
    </rPh>
    <rPh sb="39" eb="41">
      <t>ミッコウ</t>
    </rPh>
    <rPh sb="41" eb="43">
      <t>ソシキ</t>
    </rPh>
    <rPh sb="45" eb="47">
      <t>タイオウ</t>
    </rPh>
    <rPh sb="48" eb="50">
      <t>キョウギ</t>
    </rPh>
    <phoneticPr fontId="18"/>
  </si>
  <si>
    <t>イギリスとシリアの関係改善は、欧州の移民政策に影響し、中東情勢の安定にも関わる。</t>
    <rPh sb="11" eb="13">
      <t>カイゼン</t>
    </rPh>
    <phoneticPr fontId="18"/>
  </si>
  <si>
    <t>イスラエルの国防相は、ヒズボラとの戦闘終結後も南レバノンのリタニ川までを緩衝地帯として管理すると表明。国境地帯の軍事支配を続ける方針。</t>
    <rPh sb="6" eb="9">
      <t>コクボウショウ</t>
    </rPh>
    <rPh sb="17" eb="19">
      <t>セントウ</t>
    </rPh>
    <rPh sb="19" eb="21">
      <t>シュウケツ</t>
    </rPh>
    <rPh sb="21" eb="22">
      <t>ゴ</t>
    </rPh>
    <rPh sb="23" eb="24">
      <t>ミナミ</t>
    </rPh>
    <rPh sb="32" eb="33">
      <t>ガワ</t>
    </rPh>
    <rPh sb="36" eb="38">
      <t>カンショウ</t>
    </rPh>
    <rPh sb="38" eb="40">
      <t>チタイ</t>
    </rPh>
    <rPh sb="43" eb="45">
      <t>カンリ</t>
    </rPh>
    <rPh sb="48" eb="50">
      <t>ヒョウメイ</t>
    </rPh>
    <rPh sb="51" eb="53">
      <t>コッキョウ</t>
    </rPh>
    <rPh sb="53" eb="55">
      <t>チタイ</t>
    </rPh>
    <rPh sb="56" eb="58">
      <t>グンジ</t>
    </rPh>
    <rPh sb="58" eb="60">
      <t>シハイ</t>
    </rPh>
    <rPh sb="61" eb="62">
      <t>ツヅ</t>
    </rPh>
    <rPh sb="64" eb="66">
      <t>ホウシン</t>
    </rPh>
    <phoneticPr fontId="18"/>
  </si>
  <si>
    <t>レバノンの主権問題が深まれば中東の緊張が長引き、海運と原油市場を通じて日本にも影響する。</t>
    <phoneticPr fontId="18"/>
  </si>
  <si>
    <t>イタリアは、中東へ向かう米軍機がシチリアのイタリア軍基地を利用することを拒否したと発表。</t>
    <rPh sb="6" eb="8">
      <t>チュウトウ</t>
    </rPh>
    <rPh sb="9" eb="10">
      <t>ム</t>
    </rPh>
    <rPh sb="12" eb="15">
      <t>ベイグンキ</t>
    </rPh>
    <rPh sb="25" eb="26">
      <t>グン</t>
    </rPh>
    <rPh sb="26" eb="28">
      <t>キチ</t>
    </rPh>
    <rPh sb="29" eb="31">
      <t>リヨウ</t>
    </rPh>
    <rPh sb="36" eb="38">
      <t>キョヒ</t>
    </rPh>
    <rPh sb="41" eb="43">
      <t>ハッピョウ</t>
    </rPh>
    <phoneticPr fontId="18"/>
  </si>
  <si>
    <t>これまで良好だったイタリアとアメリカの関係悪化が危惧される。</t>
    <rPh sb="4" eb="6">
      <t>リョウコウ</t>
    </rPh>
    <rPh sb="19" eb="21">
      <t>カンケイ</t>
    </rPh>
    <rPh sb="21" eb="23">
      <t>アッカ</t>
    </rPh>
    <rPh sb="24" eb="26">
      <t>キグ</t>
    </rPh>
    <phoneticPr fontId="18"/>
  </si>
  <si>
    <t>フランスは、イラン戦争で使用されるアメリカ製兵器の輸送に自国空域を使うようイスラエルが求めたが、これを拒否した。欧米諸国における足並みの乱れが目立つ。</t>
    <rPh sb="12" eb="14">
      <t>シヨウ</t>
    </rPh>
    <rPh sb="51" eb="53">
      <t>キョヒ</t>
    </rPh>
    <rPh sb="56" eb="60">
      <t>オウベイショコク</t>
    </rPh>
    <phoneticPr fontId="18"/>
  </si>
  <si>
    <t>欧州の空域管理が厳しくなれば軍事補給と外交の摩擦が増し、中東危機の長期化にもつながる。</t>
    <phoneticPr fontId="18"/>
  </si>
  <si>
    <t>タイのワチラロンコン国王が、アヌティン首相の新内閣を承認した。</t>
    <phoneticPr fontId="18"/>
  </si>
  <si>
    <t>政権が固まれば政策運営は安定し、東南アジアの対外経済や対中関係にも影響する。</t>
    <phoneticPr fontId="18"/>
  </si>
  <si>
    <t>韓国市場で株価の大暴落と通貨の急落が発生。同国通貨のウォンは1ドル＝1500ウォンを割る水準まで売られた。</t>
    <rPh sb="5" eb="7">
      <t>カブカ</t>
    </rPh>
    <rPh sb="8" eb="11">
      <t>ダイボウラク</t>
    </rPh>
    <rPh sb="12" eb="14">
      <t>ツウカ</t>
    </rPh>
    <rPh sb="15" eb="17">
      <t>キュウラク</t>
    </rPh>
    <rPh sb="18" eb="20">
      <t>ハッセイ</t>
    </rPh>
    <rPh sb="21" eb="25">
      <t>ドウコクツウカ</t>
    </rPh>
    <phoneticPr fontId="18"/>
  </si>
  <si>
    <t>世界的なリスク回避が強まると、アジア市場の連鎖安や為替変動が起きやすい。日本の輸出企業や金融市場にも間接的に波及する。</t>
    <phoneticPr fontId="18"/>
  </si>
  <si>
    <t>モンゴル議会は、ニャムオソル氏を新首相に選出した。与党内対立と議会の行き詰まりで前首相が辞任し、9カ月で3人目の首相交代となった。</t>
    <phoneticPr fontId="18"/>
  </si>
  <si>
    <t>政権交代が続くことで資源国であるモンゴルの投資環境は不安定になりやすい。中国や日本を含む周辺国との経済関係にも影響する。</t>
    <phoneticPr fontId="18"/>
  </si>
  <si>
    <t>燃料価格の高騰を背景に、ドイツの極右政党「ドイツのための選択肢」が、安いロシア産エネルギーを調達すべきだと主張。アメリカとイスラエルの対イラン戦争後、ガソリン価格は15％超上昇している。</t>
    <rPh sb="0" eb="4">
      <t>ネンリョウカカク</t>
    </rPh>
    <rPh sb="5" eb="7">
      <t>コウトウ</t>
    </rPh>
    <rPh sb="8" eb="10">
      <t>ハイケイ</t>
    </rPh>
    <rPh sb="16" eb="18">
      <t>キョクウ</t>
    </rPh>
    <rPh sb="18" eb="20">
      <t>セイトウ</t>
    </rPh>
    <rPh sb="28" eb="31">
      <t>センタクシ</t>
    </rPh>
    <rPh sb="46" eb="48">
      <t>チョウタツ</t>
    </rPh>
    <rPh sb="53" eb="55">
      <t>シュチョウ</t>
    </rPh>
    <phoneticPr fontId="18"/>
  </si>
  <si>
    <t>ロシアとの関係改善の声が強まることで、ウクライナ支援の足並みが乱れる懸念。</t>
    <rPh sb="5" eb="9">
      <t>カンケイカイゼン</t>
    </rPh>
    <rPh sb="10" eb="11">
      <t>コエ</t>
    </rPh>
    <rPh sb="12" eb="13">
      <t>ツヨ</t>
    </rPh>
    <rPh sb="24" eb="26">
      <t>シエン</t>
    </rPh>
    <rPh sb="27" eb="29">
      <t>アシナ</t>
    </rPh>
    <rPh sb="31" eb="32">
      <t>ミダ</t>
    </rPh>
    <rPh sb="34" eb="36">
      <t>ケネン</t>
    </rPh>
    <phoneticPr fontId="18"/>
  </si>
  <si>
    <t>セルビアの首都ベオグラードで、大学事務所の家宅捜索に抗議する学生らと警察が衝突。学生が死亡した事件をめぐる一連の捜査が、反政府運動への反発を強めた。</t>
    <rPh sb="47" eb="49">
      <t>ジケン</t>
    </rPh>
    <rPh sb="53" eb="55">
      <t>イチレン</t>
    </rPh>
    <phoneticPr fontId="18"/>
  </si>
  <si>
    <t>抗議の激化は、セルビアの政治不安を長引かせる。西バルカン地域の安定が揺らげば、欧州全体の安定にも影響する。</t>
    <rPh sb="44" eb="46">
      <t>アンテイ</t>
    </rPh>
    <phoneticPr fontId="18"/>
  </si>
  <si>
    <t>シリアのシャラア大統領は、シリアが攻撃を受けない限り、アメリカとイスラエルの対イラン戦争に加わらないと述べた。中東の戦火拡大を避けたい姿勢を示した。</t>
    <phoneticPr fontId="18"/>
  </si>
  <si>
    <t>シリアが中立を保てば戦線拡大は抑えやすいが、地域全体の緊張はなお高いまま。テロ組織による活動でシリアが被害を受ける懸念も。</t>
    <rPh sb="39" eb="41">
      <t>ソシキ</t>
    </rPh>
    <rPh sb="44" eb="46">
      <t>カツドウ</t>
    </rPh>
    <rPh sb="51" eb="53">
      <t>ヒガイ</t>
    </rPh>
    <phoneticPr fontId="18"/>
  </si>
  <si>
    <t>トランプ大統領は、欧州の同盟国がホルムズ海峡封鎖解除に協力しないことを理由に、NATO離脱を検討していると発言。欧米諸国の同盟関係に緊張が走った。</t>
    <rPh sb="53" eb="55">
      <t>ハツゲン</t>
    </rPh>
    <rPh sb="58" eb="60">
      <t>ショコク</t>
    </rPh>
    <rPh sb="63" eb="65">
      <t>カンケイ</t>
    </rPh>
    <rPh sb="69" eb="70">
      <t>ハシ</t>
    </rPh>
    <phoneticPr fontId="18"/>
  </si>
  <si>
    <t>NATOの結束が揺らげば、中東の安全保障と海上輸送の不安が増すほか、対ロシア政策にも影響が生じる。</t>
    <rPh sb="34" eb="35">
      <t>タイ</t>
    </rPh>
    <rPh sb="38" eb="40">
      <t>セイサク</t>
    </rPh>
    <rPh sb="42" eb="44">
      <t>エイキョウ</t>
    </rPh>
    <rPh sb="45" eb="46">
      <t>ショウ</t>
    </rPh>
    <phoneticPr fontId="18"/>
  </si>
  <si>
    <t>イスラエル軍は、レバノンの首都ベイルートでヒズボラの司令官ハシェム氏を殺害したと発表。ヒズボラも死亡を認め、再び大きな打撃となった。</t>
    <rPh sb="13" eb="15">
      <t>シュト</t>
    </rPh>
    <phoneticPr fontId="18"/>
  </si>
  <si>
    <t>レバノン情勢がさらに悪化すれば、中東の報復連鎖が長引く。原油相場や海運の不安定化は日本にも響く。</t>
    <phoneticPr fontId="18"/>
  </si>
  <si>
    <t>アルゼンチンは、イランの革命防衛隊をテロ組織に指定した。アメリカの圧力を受けた措置で、革命防衛隊に対する金融制裁などの運用が可能になる。</t>
    <rPh sb="43" eb="48">
      <t>カクメイボウエイタイ</t>
    </rPh>
    <rPh sb="49" eb="50">
      <t>タイ</t>
    </rPh>
    <phoneticPr fontId="18"/>
  </si>
  <si>
    <t>対イラン包囲が広がれば、国際的な制裁網はさらに強まる。中東地域の緊張と資源市場の不安定化が続きやすい。</t>
    <rPh sb="29" eb="31">
      <t>チイキ</t>
    </rPh>
    <phoneticPr fontId="18"/>
  </si>
  <si>
    <t>欧州委員会は、深刻化する人道危機に対応するためにキューバへ追加の200万ユーロの支援を発表。燃料不足による停電と生活悪化が背景にある。</t>
    <rPh sb="29" eb="31">
      <t>ツイカ</t>
    </rPh>
    <phoneticPr fontId="18"/>
  </si>
  <si>
    <t>支援はキューバにおける当面の食料・水不足を和らげるが、エネルギー危機は依然として継続中。</t>
    <rPh sb="35" eb="37">
      <t>イゼン</t>
    </rPh>
    <rPh sb="40" eb="43">
      <t>ケイゾクチュウ</t>
    </rPh>
    <phoneticPr fontId="18"/>
  </si>
  <si>
    <t>国連の治安部隊の新指揮官がハイチ入りし、チャド軍の先遣隊も同国へ到着した。首都圏で横行するギャング対策を立て直す局面に入った。</t>
    <rPh sb="29" eb="31">
      <t>ドウコク</t>
    </rPh>
    <phoneticPr fontId="18"/>
  </si>
  <si>
    <t>ロシア軍はウクライナ第2の都市ハルキウへの無人機攻撃を丸1日続け、少なくとも2人が負傷した。ザポリージャ原発でも被害が出たとの報告あり。</t>
    <rPh sb="52" eb="54">
      <t>ゲンパツ</t>
    </rPh>
    <rPh sb="63" eb="65">
      <t>ホウコク</t>
    </rPh>
    <phoneticPr fontId="18"/>
  </si>
  <si>
    <t>イギリスは、イランによるホルムズ海峡封鎖からの再開に向け、約40カ国が協調策を協議したと発表した。軍事・外交の両面で対応を探る。</t>
    <rPh sb="18" eb="20">
      <t>フウサ</t>
    </rPh>
    <phoneticPr fontId="18"/>
  </si>
  <si>
    <t>ホルムズ海峡の封鎖は原油とLNGの供給を直撃する。アメリカを除く同盟関係が進むことであらたな国際秩序の形成も期待。</t>
    <rPh sb="30" eb="31">
      <t>ノゾ</t>
    </rPh>
    <rPh sb="32" eb="36">
      <t>ドウメイカンケイ</t>
    </rPh>
    <rPh sb="37" eb="38">
      <t>スス</t>
    </rPh>
    <rPh sb="46" eb="48">
      <t>コクサイ</t>
    </rPh>
    <rPh sb="48" eb="50">
      <t>チツジョ</t>
    </rPh>
    <rPh sb="51" eb="53">
      <t>ケイセイ</t>
    </rPh>
    <rPh sb="54" eb="56">
      <t>キタイ</t>
    </rPh>
    <phoneticPr fontId="18"/>
  </si>
  <si>
    <t>人権団体の集計では、ブルキナファソとマリで政府軍と同盟勢力による民間人への被害や殺害件数が、テロ組織によるものを上回っていると発表される。</t>
    <rPh sb="0" eb="2">
      <t>ジンケン</t>
    </rPh>
    <rPh sb="2" eb="4">
      <t>ダンタイ</t>
    </rPh>
    <rPh sb="5" eb="7">
      <t>シュウケイ</t>
    </rPh>
    <rPh sb="21" eb="24">
      <t>セイフグン</t>
    </rPh>
    <rPh sb="25" eb="27">
      <t>ドウメイ</t>
    </rPh>
    <rPh sb="27" eb="29">
      <t>セイリョク</t>
    </rPh>
    <rPh sb="32" eb="34">
      <t>ミンカン</t>
    </rPh>
    <rPh sb="34" eb="35">
      <t>ジン</t>
    </rPh>
    <rPh sb="37" eb="39">
      <t>ヒガイ</t>
    </rPh>
    <rPh sb="40" eb="42">
      <t>サツガイ</t>
    </rPh>
    <rPh sb="42" eb="44">
      <t>ケンスウ</t>
    </rPh>
    <rPh sb="48" eb="50">
      <t>ソシキ</t>
    </rPh>
    <rPh sb="56" eb="58">
      <t>ウワマワ</t>
    </rPh>
    <rPh sb="63" eb="65">
      <t>ハッピョウ</t>
    </rPh>
    <phoneticPr fontId="18"/>
  </si>
  <si>
    <t>アフリカのサヘル地域における治安悪化は、アフリカから欧州への難民増加と対外支援の長期化につながる。</t>
    <rPh sb="8" eb="10">
      <t>チイキ</t>
    </rPh>
    <rPh sb="26" eb="28">
      <t>オウシュウ</t>
    </rPh>
    <phoneticPr fontId="18"/>
  </si>
  <si>
    <t>コンゴ民主共和国の東部で、IS系の反政府勢力による襲撃が発生。軍発表で43人が死亡した。</t>
    <rPh sb="28" eb="30">
      <t>ハッセイ</t>
    </rPh>
    <phoneticPr fontId="18"/>
  </si>
  <si>
    <t>鉱物資源地帯の治安悪化は世界的な供給網を動揺させる。特にバッテリーの原料に影響の出る可能性。</t>
    <phoneticPr fontId="18"/>
  </si>
  <si>
    <t>アメリカ政府はベネズエラの暫定大統領であるロドリゲス氏への制裁を解除した。対ベネズエラ制裁の緩和と関係改善が進行。</t>
    <rPh sb="43" eb="45">
      <t>セイサイ</t>
    </rPh>
    <rPh sb="46" eb="48">
      <t>カンワ</t>
    </rPh>
    <rPh sb="49" eb="53">
      <t>カンケイカイゼン</t>
    </rPh>
    <rPh sb="54" eb="56">
      <t>シンコウ</t>
    </rPh>
    <phoneticPr fontId="18"/>
  </si>
  <si>
    <t>長年のベネズエラ制裁が緩和し国内情勢が改善されることで、北米を目指す移民数の削減も期待。</t>
    <rPh sb="0" eb="2">
      <t>ナガネン</t>
    </rPh>
    <rPh sb="8" eb="10">
      <t>セイサイ</t>
    </rPh>
    <rPh sb="11" eb="13">
      <t>カンワ</t>
    </rPh>
    <rPh sb="14" eb="16">
      <t>コクナイ</t>
    </rPh>
    <rPh sb="16" eb="18">
      <t>ジョウセイ</t>
    </rPh>
    <rPh sb="19" eb="21">
      <t>カイゼン</t>
    </rPh>
    <rPh sb="28" eb="30">
      <t>ホクベイ</t>
    </rPh>
    <rPh sb="38" eb="40">
      <t>サクゲン</t>
    </rPh>
    <rPh sb="41" eb="43">
      <t>キタイ</t>
    </rPh>
    <phoneticPr fontId="18"/>
  </si>
  <si>
    <t>ニュージーランドとクック諸島は防衛・安全保障を深化させることを発表。中国による太平洋地域への影響量拡大をめぐる動きと言える。</t>
    <rPh sb="23" eb="25">
      <t>シンカ</t>
    </rPh>
    <rPh sb="31" eb="33">
      <t>ハッピョウ</t>
    </rPh>
    <rPh sb="39" eb="42">
      <t>タイヘイヨウ</t>
    </rPh>
    <rPh sb="42" eb="44">
      <t>チイキ</t>
    </rPh>
    <rPh sb="46" eb="51">
      <t>エイキョウリョウカクダイ</t>
    </rPh>
    <rPh sb="55" eb="56">
      <t>ウゴ</t>
    </rPh>
    <rPh sb="58" eb="59">
      <t>イ</t>
    </rPh>
    <phoneticPr fontId="18"/>
  </si>
  <si>
    <t>太平洋の島嶼国における安全保障枠組みの再編は中国の影響力拡大と結びつく。アメリカ、オーストラリア、フィリピン、日本などの動きも注視する必要あり。</t>
    <rPh sb="15" eb="17">
      <t>ワクグ</t>
    </rPh>
    <rPh sb="55" eb="57">
      <t>ニホン</t>
    </rPh>
    <rPh sb="60" eb="61">
      <t>ウゴ</t>
    </rPh>
    <rPh sb="63" eb="65">
      <t>チュウシ</t>
    </rPh>
    <rPh sb="67" eb="69">
      <t>ヒツヨウ</t>
    </rPh>
    <phoneticPr fontId="18"/>
  </si>
  <si>
    <t>インドは、イギリス主導のホルムズ海峡の再開策を探る協議に参加すると表明。</t>
    <phoneticPr fontId="18"/>
  </si>
  <si>
    <t>インドから近いイランにおける紛争や海峡封鎖はインド経済への影響が危惧される。同国が海峡封鎖解除への関与を強めることで、海上輸送の安定化に向けた国際連携が広がる可能性。</t>
    <rPh sb="5" eb="6">
      <t>チカ</t>
    </rPh>
    <rPh sb="14" eb="16">
      <t>フンソウ</t>
    </rPh>
    <rPh sb="17" eb="21">
      <t>カイキョウフウサ</t>
    </rPh>
    <rPh sb="25" eb="27">
      <t>ケイザイ</t>
    </rPh>
    <rPh sb="29" eb="31">
      <t>エイキョウ</t>
    </rPh>
    <rPh sb="32" eb="34">
      <t>キグ</t>
    </rPh>
    <rPh sb="38" eb="40">
      <t>ドウコク</t>
    </rPh>
    <rPh sb="41" eb="47">
      <t>カイキョウフウサカイジョ</t>
    </rPh>
    <rPh sb="49" eb="51">
      <t>カンヨ</t>
    </rPh>
    <rPh sb="52" eb="53">
      <t>ツヨ</t>
    </rPh>
    <rPh sb="79" eb="82">
      <t>カノウセイ</t>
    </rPh>
    <phoneticPr fontId="18"/>
  </si>
  <si>
    <t>ロシアはマダガスカルの軍事政権に装甲車や弾薬などを供与し、軍事関係を深めた。</t>
    <rPh sb="11" eb="15">
      <t>グンジセイケン</t>
    </rPh>
    <rPh sb="25" eb="27">
      <t>キョウヨ</t>
    </rPh>
    <phoneticPr fontId="18"/>
  </si>
  <si>
    <t>アフリカでのロシアの関与拡大は、アフリカにおける勢力図を動かし、日本のアフリカ投資にも影響しうる。</t>
    <rPh sb="10" eb="14">
      <t>カンヨカクダイ</t>
    </rPh>
    <phoneticPr fontId="18"/>
  </si>
  <si>
    <t>イタリアのメローニ首相が湾岸諸国への歴訪を実施。エネルギー安全保障と投資維持を訴えた。中東危機で燃料高が続く中、原油供給元の確保が急がれている。</t>
    <rPh sb="12" eb="16">
      <t>ワンガンショコク</t>
    </rPh>
    <rPh sb="18" eb="20">
      <t>レキホウ</t>
    </rPh>
    <rPh sb="21" eb="23">
      <t>ジッシ</t>
    </rPh>
    <rPh sb="56" eb="58">
      <t>ゲンユ</t>
    </rPh>
    <rPh sb="60" eb="61">
      <t>モト</t>
    </rPh>
    <phoneticPr fontId="18"/>
  </si>
  <si>
    <t>欧州のエネルギー調達不安が続けばLNG市場が逼迫し、日本でも更なる価格高騰リスクの可能性。</t>
    <rPh sb="30" eb="31">
      <t>サラ</t>
    </rPh>
    <rPh sb="35" eb="37">
      <t>コウトウ</t>
    </rPh>
    <rPh sb="41" eb="44">
      <t>カノウセイ</t>
    </rPh>
    <phoneticPr fontId="18"/>
  </si>
  <si>
    <t>韓国とフランスの首脳会談が行われ、防衛とエネルギー分野を中心に協力を深めることで一致。</t>
    <rPh sb="0" eb="2">
      <t>カンコク</t>
    </rPh>
    <rPh sb="8" eb="10">
      <t>シュノウ</t>
    </rPh>
    <rPh sb="10" eb="12">
      <t>カイダン</t>
    </rPh>
    <rPh sb="13" eb="14">
      <t>オコナ</t>
    </rPh>
    <rPh sb="17" eb="19">
      <t>ボウエイ</t>
    </rPh>
    <rPh sb="25" eb="27">
      <t>ブンヤ</t>
    </rPh>
    <rPh sb="28" eb="30">
      <t>チュウシン</t>
    </rPh>
    <rPh sb="31" eb="33">
      <t>キョウリョク</t>
    </rPh>
    <rPh sb="34" eb="35">
      <t>フカ</t>
    </rPh>
    <rPh sb="40" eb="42">
      <t>イッチ</t>
    </rPh>
    <phoneticPr fontId="18"/>
  </si>
  <si>
    <t>ロシアのプーチン大統領は、トルコのエルドアン大統領と電話会談し、中東情勢を協議した。詳細は示されなかったが、調停役としてのトルコの存在感が強まっている</t>
    <rPh sb="69" eb="70">
      <t>ツヨ</t>
    </rPh>
    <phoneticPr fontId="18"/>
  </si>
  <si>
    <t>トルコが仲介役を保てれば、中東の軍事拡大を抑える余地が残り、原油市場の不安定化を和らげうる。</t>
    <phoneticPr fontId="18"/>
  </si>
  <si>
    <t>三井商船が共同保有するLNG船がホルムズ海峡を通過し、日本関連の船として初めて危機後に航行した。</t>
    <rPh sb="2" eb="4">
      <t>ショウセン</t>
    </rPh>
    <phoneticPr fontId="18"/>
  </si>
  <si>
    <t>日本のLNG調達に直結する動きで、海峡の安全確保と輸送再開の見通しを左右する。</t>
    <phoneticPr fontId="18"/>
  </si>
  <si>
    <t>エチオピアは中国との間で債務処理の整理で合意し、G20共通枠組みに沿った二国間交渉を前進させた。</t>
    <phoneticPr fontId="18"/>
  </si>
  <si>
    <t>債務再編が進むことで東アフリカの投資環境改善が期待されるも、アフリカにおける中国進出がより強まっている。</t>
    <rPh sb="20" eb="22">
      <t>カイゼン</t>
    </rPh>
    <rPh sb="23" eb="25">
      <t>キタイ</t>
    </rPh>
    <rPh sb="38" eb="40">
      <t>チュウゴク</t>
    </rPh>
    <rPh sb="40" eb="42">
      <t>シンシュツ</t>
    </rPh>
    <rPh sb="45" eb="46">
      <t>ツヨ</t>
    </rPh>
    <phoneticPr fontId="18"/>
  </si>
  <si>
    <t>中国当局は、デジタルヒューマンのルールなどの草案を公表した。子ども向けの依存性サービスにも制限をかける。</t>
    <phoneticPr fontId="18"/>
  </si>
  <si>
    <t>生成AIの規制強化は、中国発のプラットフォームや広告事業に影響し、日本のAI規制議論にも参考になる。</t>
    <phoneticPr fontId="18"/>
  </si>
  <si>
    <t>ミャンマーで軍事政権トップのミンアウンフライン氏が大統領に選出され、軍主導体制が制度上も固まった。</t>
    <rPh sb="6" eb="10">
      <t>グンジセイケン</t>
    </rPh>
    <rPh sb="23" eb="24">
      <t>シ</t>
    </rPh>
    <rPh sb="25" eb="28">
      <t>ダイトウリョウ</t>
    </rPh>
    <rPh sb="29" eb="31">
      <t>センシュツ</t>
    </rPh>
    <rPh sb="34" eb="35">
      <t>グン</t>
    </rPh>
    <rPh sb="35" eb="37">
      <t>シュドウ</t>
    </rPh>
    <rPh sb="37" eb="39">
      <t>タイセイ</t>
    </rPh>
    <rPh sb="40" eb="43">
      <t>セイドジョウ</t>
    </rPh>
    <rPh sb="44" eb="45">
      <t>カタ</t>
    </rPh>
    <phoneticPr fontId="18"/>
  </si>
  <si>
    <t>民政移管はさらに遠のき、軍政の固定化は内戦と難民流出を長引かせうる。</t>
    <rPh sb="0" eb="4">
      <t>ミンセイイカン</t>
    </rPh>
    <rPh sb="8" eb="9">
      <t>トオ</t>
    </rPh>
    <phoneticPr fontId="18"/>
  </si>
  <si>
    <t>アフガニスタンのヒンドゥークシュ地域でマグニチュード5.9の地震が発生。首都カブールでは家屋倒壊による死者が出た。</t>
    <rPh sb="33" eb="35">
      <t>ハッセイ</t>
    </rPh>
    <phoneticPr fontId="18"/>
  </si>
  <si>
    <t>ギリシャのミツォタキス首相は、EUの農業補助金をめぐる不正疑惑の拡大を受けて内閣改造に踏み切った。</t>
    <phoneticPr fontId="18"/>
  </si>
  <si>
    <t>ウクライナのゼレンスキー大統領はイスタンブールでエルドアン大統領と会談し、安全保障協力を強化することが合意されたほか、エネルギーと黒海航路も議題にあがった。</t>
    <rPh sb="12" eb="15">
      <t>ダイトウリョウ</t>
    </rPh>
    <rPh sb="29" eb="32">
      <t>ダイトウリョウ</t>
    </rPh>
    <rPh sb="33" eb="35">
      <t>カイダン</t>
    </rPh>
    <rPh sb="37" eb="39">
      <t>アンゼン</t>
    </rPh>
    <rPh sb="39" eb="41">
      <t>ホショウ</t>
    </rPh>
    <rPh sb="41" eb="43">
      <t>キョウリョク</t>
    </rPh>
    <rPh sb="44" eb="46">
      <t>キョウカ</t>
    </rPh>
    <rPh sb="51" eb="53">
      <t>ゴウイ</t>
    </rPh>
    <rPh sb="65" eb="67">
      <t>コッカイ</t>
    </rPh>
    <rPh sb="67" eb="69">
      <t>コウロ</t>
    </rPh>
    <rPh sb="70" eb="72">
      <t>ギダイ</t>
    </rPh>
    <phoneticPr fontId="18"/>
  </si>
  <si>
    <t>トルコとの連携が深まることでウクライナの外交・防衛の選択肢が広がり、黒海物流の見通しにも影響する。</t>
    <phoneticPr fontId="18"/>
  </si>
  <si>
    <t>イラン政府は反体制組織との関係があるとして2人を処刑した。国内メディアは、武装攻撃への関与も理由に挙げた。</t>
    <rPh sb="3" eb="5">
      <t>セイフ</t>
    </rPh>
    <phoneticPr fontId="18"/>
  </si>
  <si>
    <t>国内弾圧の強化は対外対立の長期化につながり、中東の緊張と原油市場の不安定化が継続されると想定される。</t>
    <rPh sb="38" eb="40">
      <t>ケイゾク</t>
    </rPh>
    <rPh sb="44" eb="46">
      <t>ソウテイ</t>
    </rPh>
    <phoneticPr fontId="18"/>
  </si>
  <si>
    <t>インドは7年ぶりにイラン産原油の購入を再開。ホルムズ海峡危機を受け、調達先を柔軟に見直している。</t>
    <phoneticPr fontId="18"/>
  </si>
  <si>
    <t>世界最大の人口を有するインドにて原油の調達先変更が行われれば、原油市場の需給を動かしうる要素と言える。</t>
    <rPh sb="0" eb="4">
      <t>セカイサイダイ</t>
    </rPh>
    <rPh sb="5" eb="7">
      <t>ジンコウ</t>
    </rPh>
    <rPh sb="8" eb="9">
      <t>ユウ</t>
    </rPh>
    <rPh sb="16" eb="18">
      <t>ゲンユ</t>
    </rPh>
    <rPh sb="25" eb="26">
      <t>オコナ</t>
    </rPh>
    <rPh sb="44" eb="46">
      <t>ヨウソ</t>
    </rPh>
    <rPh sb="47" eb="48">
      <t>イ</t>
    </rPh>
    <phoneticPr fontId="18"/>
  </si>
  <si>
    <t>コンゴ民主共和国は、アメリカから送られる第三国出身の移民を受け入れる新たな合意を結んだ。移民管理でアメリカとの協力が進む。</t>
    <rPh sb="26" eb="28">
      <t>イミン</t>
    </rPh>
    <phoneticPr fontId="18"/>
  </si>
  <si>
    <t>UAEのボロージュ工場で複数回の火災が起き、石油精製設備の操業が停止した。</t>
    <rPh sb="9" eb="11">
      <t>コウジョウ</t>
    </rPh>
    <rPh sb="12" eb="15">
      <t>フクスウカイ</t>
    </rPh>
    <rPh sb="16" eb="18">
      <t>カサイ</t>
    </rPh>
    <rPh sb="19" eb="20">
      <t>オ</t>
    </rPh>
    <rPh sb="22" eb="24">
      <t>セキユ</t>
    </rPh>
    <rPh sb="24" eb="26">
      <t>セイセイ</t>
    </rPh>
    <rPh sb="26" eb="28">
      <t>セツビ</t>
    </rPh>
    <rPh sb="29" eb="31">
      <t>ソウギョウ</t>
    </rPh>
    <rPh sb="32" eb="34">
      <t>テイシ</t>
    </rPh>
    <phoneticPr fontId="18"/>
  </si>
  <si>
    <t>湾岸諸国の石油精製設備などの設備停止は、物流コストの上昇や化学品の輸入に影響がで売る。</t>
    <rPh sb="2" eb="4">
      <t>ショコク</t>
    </rPh>
    <rPh sb="5" eb="11">
      <t>セキユセイセイセツビ</t>
    </rPh>
    <rPh sb="14" eb="18">
      <t>セツビテイシ</t>
    </rPh>
    <rPh sb="20" eb="22">
      <t>ブツリュウ</t>
    </rPh>
    <rPh sb="26" eb="28">
      <t>ジョウショウ</t>
    </rPh>
    <rPh sb="29" eb="32">
      <t>カガクヒン</t>
    </rPh>
    <rPh sb="33" eb="35">
      <t>ユニュウ</t>
    </rPh>
    <rPh sb="36" eb="38">
      <t>エイキョウ</t>
    </rPh>
    <rPh sb="40" eb="41">
      <t>ウ</t>
    </rPh>
    <phoneticPr fontId="18"/>
  </si>
  <si>
    <t>米国内で永住権を所持していたが、これがはく奪される</t>
    <phoneticPr fontId="18"/>
  </si>
  <si>
    <t>米当局は、イランの故ソレイマニ司令官の娘らを拘束した。</t>
    <rPh sb="0" eb="3">
      <t>ベイトウキョク</t>
    </rPh>
    <rPh sb="9" eb="10">
      <t>コ</t>
    </rPh>
    <rPh sb="15" eb="18">
      <t>シレイカン</t>
    </rPh>
    <rPh sb="19" eb="20">
      <t>ムスメ</t>
    </rPh>
    <rPh sb="22" eb="24">
      <t>コウソク</t>
    </rPh>
    <phoneticPr fontId="18"/>
  </si>
  <si>
    <t>ロシアのバルト海沿岸プリモルスクで、ドローン攻撃により送油管の一部が損傷した。火災は鎮火したが、原油供給への打撃は続く。</t>
    <rPh sb="48" eb="50">
      <t>ゲンユ</t>
    </rPh>
    <rPh sb="50" eb="52">
      <t>キョウキュウ</t>
    </rPh>
    <phoneticPr fontId="18"/>
  </si>
  <si>
    <t>ウクライナのゼレンスキー大統領はシリアのシャラア大統領と会談し、安全保障協力で合意した。中東歴訪の一環で、対ドローン技術の共有も議題となった。</t>
    <rPh sb="12" eb="15">
      <t>ダイトウリョウ</t>
    </rPh>
    <rPh sb="24" eb="27">
      <t>ダイトウリョウ</t>
    </rPh>
    <rPh sb="28" eb="30">
      <t>カイダン</t>
    </rPh>
    <rPh sb="32" eb="34">
      <t>アンゼン</t>
    </rPh>
    <rPh sb="34" eb="36">
      <t>ホショウ</t>
    </rPh>
    <rPh sb="36" eb="38">
      <t>キョウリョク</t>
    </rPh>
    <rPh sb="39" eb="41">
      <t>ゴウイ</t>
    </rPh>
    <rPh sb="44" eb="46">
      <t>チュウトウ</t>
    </rPh>
    <rPh sb="46" eb="48">
      <t>レキホウ</t>
    </rPh>
    <rPh sb="49" eb="51">
      <t>イッカン</t>
    </rPh>
    <rPh sb="53" eb="54">
      <t>タイ</t>
    </rPh>
    <rPh sb="58" eb="60">
      <t>ギジュツ</t>
    </rPh>
    <rPh sb="61" eb="63">
      <t>キョウユウ</t>
    </rPh>
    <rPh sb="64" eb="66">
      <t>ギダイ</t>
    </rPh>
    <phoneticPr fontId="18"/>
  </si>
  <si>
    <t>ウクライナの協力先が中東へ広がれば、戦争の外交地図が変わり、日本の中東外交にも影響する。</t>
    <phoneticPr fontId="18"/>
  </si>
  <si>
    <t>イラン革命防衛隊の情報組織トップ、ハデミ氏の死亡がイラン国営メディアで伝えられた。死因や経緯は公表されていない。</t>
    <phoneticPr fontId="18"/>
  </si>
  <si>
    <t>中枢幹部の死亡は指揮系統の混乱や報復の連鎖を招き、中東危機を長引かせる。</t>
    <phoneticPr fontId="18"/>
  </si>
  <si>
    <t>イランはアメリカの停戦案を退け、戦争の一時停止ではなく恒久的な終結を求める立場を示した。ホルムズ海峡の安全確保も交渉条件に挙げた。</t>
    <phoneticPr fontId="18"/>
  </si>
  <si>
    <t>停戦がまとまらなければ海峡リスクが続き、世界はもちろん日本における原油や海運コストが高止まりしやすい。</t>
    <rPh sb="20" eb="22">
      <t>セカイ</t>
    </rPh>
    <phoneticPr fontId="18"/>
  </si>
  <si>
    <t>南スーダンのキール大統領が、国民議会の議長と副議長を解任した。理由は明らかにされておらず、政権内の再編が進んでいる。</t>
    <phoneticPr fontId="18"/>
  </si>
  <si>
    <t>政治の不安定化は内戦後の統治回復を遅らせ、東アフリカの安定と人道支援に影響する。</t>
    <phoneticPr fontId="18"/>
  </si>
  <si>
    <t>イギリスは1カ月に渡りイギリス海域を航行していたロシアの潜水艦に対し、海底ケーブルやパイプラインへの接近をやめるよう警告した。潜水艦活動への警戒が高まっている。</t>
    <rPh sb="7" eb="8">
      <t>ゲツ</t>
    </rPh>
    <rPh sb="9" eb="10">
      <t>ワタ</t>
    </rPh>
    <rPh sb="15" eb="17">
      <t>カイイキ</t>
    </rPh>
    <rPh sb="18" eb="20">
      <t>コウコウ</t>
    </rPh>
    <rPh sb="28" eb="31">
      <t>センスイカン</t>
    </rPh>
    <rPh sb="32" eb="33">
      <t>タイ</t>
    </rPh>
    <rPh sb="35" eb="37">
      <t>カイテイ</t>
    </rPh>
    <rPh sb="50" eb="52">
      <t>セッキン</t>
    </rPh>
    <rPh sb="58" eb="60">
      <t>ケイコク</t>
    </rPh>
    <rPh sb="63" eb="66">
      <t>センスイカン</t>
    </rPh>
    <rPh sb="66" eb="68">
      <t>カツドウ</t>
    </rPh>
    <rPh sb="70" eb="72">
      <t>ケイカイ</t>
    </rPh>
    <rPh sb="73" eb="74">
      <t>タカ</t>
    </rPh>
    <phoneticPr fontId="18"/>
  </si>
  <si>
    <t>海底インフラ防護が欧州の安全保障課題となり、同盟国間の対露抑止のあり方にも影響する。</t>
    <phoneticPr fontId="18"/>
  </si>
  <si>
    <t>日本の高市首相がイランのペゼシュキアン大統領と電話で会談。停戦の持続とホルムズ海峡の状況を協議した。</t>
    <rPh sb="0" eb="2">
      <t>ニホン</t>
    </rPh>
    <rPh sb="3" eb="5">
      <t>タカイチ</t>
    </rPh>
    <rPh sb="5" eb="7">
      <t>シュショウ</t>
    </rPh>
    <rPh sb="19" eb="22">
      <t>ダイトウリョウ</t>
    </rPh>
    <rPh sb="23" eb="25">
      <t>デンワ</t>
    </rPh>
    <rPh sb="26" eb="28">
      <t>カイダン</t>
    </rPh>
    <rPh sb="29" eb="31">
      <t>テイセン</t>
    </rPh>
    <rPh sb="32" eb="34">
      <t>ジゾク</t>
    </rPh>
    <rPh sb="39" eb="41">
      <t>カイキョウ</t>
    </rPh>
    <rPh sb="42" eb="44">
      <t>ジョウキョウ</t>
    </rPh>
    <rPh sb="45" eb="47">
      <t>キョウギ</t>
    </rPh>
    <phoneticPr fontId="18"/>
  </si>
  <si>
    <t>日本の首相が直接関与することで、原油供給と海上交通の安定を求める外交圧力が強まる。</t>
    <phoneticPr fontId="18"/>
  </si>
  <si>
    <t>マダガスカルは、イラン情勢による燃料供給混乱を受け、15日間のエネルギー非常事態を宣言した。燃料不足への危機感が高まっている。</t>
    <rPh sb="11" eb="13">
      <t>ジョウセイ</t>
    </rPh>
    <rPh sb="16" eb="18">
      <t>ネンリョウ</t>
    </rPh>
    <rPh sb="18" eb="20">
      <t>キョウキュウ</t>
    </rPh>
    <rPh sb="20" eb="22">
      <t>コンラン</t>
    </rPh>
    <rPh sb="23" eb="24">
      <t>ウ</t>
    </rPh>
    <rPh sb="28" eb="30">
      <t>ニチカン</t>
    </rPh>
    <rPh sb="36" eb="38">
      <t>ヒジョウ</t>
    </rPh>
    <rPh sb="38" eb="40">
      <t>ジタイ</t>
    </rPh>
    <rPh sb="41" eb="43">
      <t>センゲン</t>
    </rPh>
    <rPh sb="46" eb="48">
      <t>ネンリョウ</t>
    </rPh>
    <rPh sb="48" eb="50">
      <t>ブソク</t>
    </rPh>
    <rPh sb="52" eb="55">
      <t>キキカン</t>
    </rPh>
    <rPh sb="56" eb="57">
      <t>タカ</t>
    </rPh>
    <phoneticPr fontId="18"/>
  </si>
  <si>
    <t>燃料不足は島嶼国の経済を直撃し、海上輸送や援助の重要性が日本にも改めて突きつけられる。</t>
    <phoneticPr fontId="18"/>
  </si>
  <si>
    <t>パラグアイのペニャ大統領は、財務大臣にロベラ氏を指名した。前任者の辞任を受け、成長維持と行政効率化を掲げる。</t>
    <rPh sb="14" eb="18">
      <t>ザイムダイジン</t>
    </rPh>
    <phoneticPr fontId="18"/>
  </si>
  <si>
    <t>メキシコ上院は、北米担当のベラスコ氏を新外相に承認した。アメリカ・カナダとのUSMCA再検討が進む時期の交代となる。</t>
    <phoneticPr fontId="18"/>
  </si>
  <si>
    <t>北米における自由貿易協定の維持に向けた動きが期待される。</t>
    <rPh sb="0" eb="2">
      <t>ホクベイ</t>
    </rPh>
    <rPh sb="6" eb="12">
      <t>ジユウボウエキキョウテイ</t>
    </rPh>
    <rPh sb="13" eb="15">
      <t>イジ</t>
    </rPh>
    <rPh sb="16" eb="17">
      <t>ム</t>
    </rPh>
    <rPh sb="19" eb="20">
      <t>ウゴ</t>
    </rPh>
    <rPh sb="22" eb="24">
      <t>キタイ</t>
    </rPh>
    <phoneticPr fontId="18"/>
  </si>
  <si>
    <t>中国とロシアは、ホルムズ海峡の商船保護を求める国連決議に拒否権を行使した。アメリカはこの動きをイランを利する判断だと反発した。</t>
    <rPh sb="0" eb="2">
      <t>チュウゴク</t>
    </rPh>
    <rPh sb="12" eb="14">
      <t>カイキョウ</t>
    </rPh>
    <rPh sb="15" eb="17">
      <t>ショウセン</t>
    </rPh>
    <rPh sb="17" eb="19">
      <t>ホゴ</t>
    </rPh>
    <rPh sb="20" eb="21">
      <t>モト</t>
    </rPh>
    <rPh sb="23" eb="25">
      <t>コクレン</t>
    </rPh>
    <rPh sb="25" eb="27">
      <t>ケツギ</t>
    </rPh>
    <rPh sb="28" eb="31">
      <t>キョヒケン</t>
    </rPh>
    <rPh sb="32" eb="34">
      <t>コウシ</t>
    </rPh>
    <rPh sb="44" eb="45">
      <t>ウゴ</t>
    </rPh>
    <rPh sb="51" eb="52">
      <t>リ</t>
    </rPh>
    <rPh sb="54" eb="56">
      <t>ハンダン</t>
    </rPh>
    <rPh sb="58" eb="60">
      <t>ハンパツ</t>
    </rPh>
    <phoneticPr fontId="18"/>
  </si>
  <si>
    <t>安保理の足並みが乱れると海峡再開の実効策が弱まり、世界的なエネルギー不安が継続される。</t>
    <rPh sb="27" eb="28">
      <t>テキ</t>
    </rPh>
    <rPh sb="37" eb="39">
      <t>ケイゾク</t>
    </rPh>
    <phoneticPr fontId="18"/>
  </si>
  <si>
    <t>中国は、外国からの差別的な禁輸や供給網を脅かす行為に対し、政府機関が安全保障調査を始められる新規則を導入した。</t>
    <rPh sb="4" eb="6">
      <t>ガイコク</t>
    </rPh>
    <phoneticPr fontId="18"/>
  </si>
  <si>
    <t>対中サプライチェーンの分断が進み、日本企業の調達先分散や法務対応の負担が増える可能性。</t>
    <rPh sb="39" eb="42">
      <t>カノウセイ</t>
    </rPh>
    <phoneticPr fontId="18"/>
  </si>
  <si>
    <t>パキスタンとエジプト首脳の電話会談</t>
    <rPh sb="10" eb="12">
      <t>シュノウ</t>
    </rPh>
    <rPh sb="13" eb="17">
      <t>デンワカイダン</t>
    </rPh>
    <phoneticPr fontId="18"/>
  </si>
  <si>
    <t>パキスタンとエジプトは、米トランプ大統領が設定した期限が迫る中、イラン戦争を止めるための外交協議を急いだ。</t>
    <rPh sb="12" eb="13">
      <t>ベイ</t>
    </rPh>
    <rPh sb="21" eb="23">
      <t>セッテイ</t>
    </rPh>
    <phoneticPr fontId="18"/>
  </si>
  <si>
    <t>停戦外交が進めば中東の原油高圧力は和らぐが、状況は依然として不透明。</t>
    <rPh sb="22" eb="24">
      <t>ジョウキョウ</t>
    </rPh>
    <rPh sb="25" eb="27">
      <t>イゼン</t>
    </rPh>
    <rPh sb="30" eb="33">
      <t>フトウメイ</t>
    </rPh>
    <phoneticPr fontId="18"/>
  </si>
  <si>
    <t>ベトナム国民議会はト・ラム氏を国家主席に選出し、党と国家の要職を兼ねる体制が固まった。経済停滞への対応と権力集中が同時に進んだ。</t>
    <phoneticPr fontId="18"/>
  </si>
  <si>
    <t>統治の安定が進めば投資環境は改善し、日本企業にとってもベトナム戦略の見通しが立ちやすくなる。</t>
    <phoneticPr fontId="18"/>
  </si>
  <si>
    <t>イラン革命防衛隊は、サウジアラビア東部ジュバイルの石油化学施設を攻撃したと発表。米・イスラエルの攻撃への報復で、ホルムズ海峡をめぐる緊張がさらに高まった。</t>
    <phoneticPr fontId="18"/>
  </si>
  <si>
    <t>サウジアラビアやUAEといった国々を巻きこんだ紛争の拡大と、さらなるエネルギー調達への影響が危惧される。</t>
    <rPh sb="15" eb="17">
      <t>クニグニ</t>
    </rPh>
    <rPh sb="18" eb="19">
      <t>マ</t>
    </rPh>
    <rPh sb="23" eb="25">
      <t>フンソウ</t>
    </rPh>
    <rPh sb="26" eb="28">
      <t>カクダイ</t>
    </rPh>
    <rPh sb="39" eb="41">
      <t>チョウタツ</t>
    </rPh>
    <rPh sb="43" eb="45">
      <t>エイキョウ</t>
    </rPh>
    <rPh sb="46" eb="48">
      <t>キグ</t>
    </rPh>
    <phoneticPr fontId="18"/>
  </si>
  <si>
    <t>米軍はイランのカーグ島にある軍事目標を攻撃したと発表。湾岸諸国での攻撃の応酬は、戦線の拡大を示している。</t>
    <rPh sb="0" eb="2">
      <t>ベイグン</t>
    </rPh>
    <rPh sb="10" eb="11">
      <t>トウ</t>
    </rPh>
    <rPh sb="14" eb="16">
      <t>グンジ</t>
    </rPh>
    <rPh sb="16" eb="18">
      <t>モクヒョウ</t>
    </rPh>
    <rPh sb="19" eb="21">
      <t>コウゲキ</t>
    </rPh>
    <rPh sb="24" eb="26">
      <t>ハッピョウ</t>
    </rPh>
    <rPh sb="27" eb="29">
      <t>ワンガン</t>
    </rPh>
    <rPh sb="29" eb="31">
      <t>ショコク</t>
    </rPh>
    <rPh sb="33" eb="35">
      <t>コウゲキ</t>
    </rPh>
    <rPh sb="36" eb="38">
      <t>オウシュウ</t>
    </rPh>
    <rPh sb="40" eb="42">
      <t>センセン</t>
    </rPh>
    <rPh sb="43" eb="45">
      <t>カクダイ</t>
    </rPh>
    <rPh sb="46" eb="47">
      <t>シメ</t>
    </rPh>
    <phoneticPr fontId="18"/>
  </si>
  <si>
    <t>攻撃拡大はホルムズ海峡の安全を一段と不安定にし、日本の原油調達リスクを押し上げる。</t>
    <phoneticPr fontId="18"/>
  </si>
  <si>
    <t>アメリカとイランは2週間の停戦で合意。パキスタンの仲介により協議が進展し、今後は同国の首都イスラマバードで本格協議に入る。</t>
    <rPh sb="10" eb="12">
      <t>シュウカン</t>
    </rPh>
    <rPh sb="13" eb="15">
      <t>テイセン</t>
    </rPh>
    <rPh sb="16" eb="18">
      <t>ゴウイ</t>
    </rPh>
    <rPh sb="25" eb="27">
      <t>チュウカイ</t>
    </rPh>
    <rPh sb="30" eb="32">
      <t>キョウギ</t>
    </rPh>
    <rPh sb="33" eb="35">
      <t>シンテン</t>
    </rPh>
    <rPh sb="37" eb="39">
      <t>コンゴ</t>
    </rPh>
    <rPh sb="40" eb="42">
      <t>ドウコク</t>
    </rPh>
    <rPh sb="43" eb="45">
      <t>シュト</t>
    </rPh>
    <rPh sb="53" eb="55">
      <t>ホンカク</t>
    </rPh>
    <rPh sb="55" eb="57">
      <t>キョウギ</t>
    </rPh>
    <rPh sb="58" eb="59">
      <t>ハイ</t>
    </rPh>
    <phoneticPr fontId="18"/>
  </si>
  <si>
    <t>恒久的な停戦が期待されるが、協議により更なる関係悪化の可能性も残る。</t>
    <rPh sb="0" eb="3">
      <t>コウキュウテキ</t>
    </rPh>
    <rPh sb="4" eb="6">
      <t>テイセン</t>
    </rPh>
    <rPh sb="7" eb="9">
      <t>キタイ</t>
    </rPh>
    <rPh sb="14" eb="16">
      <t>キョウギ</t>
    </rPh>
    <rPh sb="19" eb="20">
      <t>サラ</t>
    </rPh>
    <rPh sb="22" eb="26">
      <t>カンケイアッカ</t>
    </rPh>
    <rPh sb="27" eb="30">
      <t>カノウセイ</t>
    </rPh>
    <rPh sb="31" eb="32">
      <t>ノコ</t>
    </rPh>
    <phoneticPr fontId="18"/>
  </si>
  <si>
    <t>北朝鮮は、韓国を敵対国家とみなす立場は変わらないと改めて示し、ソウルの融和期待を退けた。</t>
    <phoneticPr fontId="18"/>
  </si>
  <si>
    <t>朝鮮半島の緊張が続けば、日本のミサイル防衛と地域安全保障の負担が重くなる。</t>
    <phoneticPr fontId="18"/>
  </si>
  <si>
    <t>中国政府は、アフガニスタンとパキスタンが和平協議で包括的解決を探ることで一致したと発表した。対立拡大を避けるよう呼びかけている。</t>
    <rPh sb="0" eb="2">
      <t>チュウゴク</t>
    </rPh>
    <rPh sb="2" eb="4">
      <t>セイフ</t>
    </rPh>
    <rPh sb="20" eb="22">
      <t>ワヘイ</t>
    </rPh>
    <rPh sb="22" eb="24">
      <t>キョウギ</t>
    </rPh>
    <rPh sb="25" eb="28">
      <t>ホウカツテキ</t>
    </rPh>
    <rPh sb="28" eb="30">
      <t>カイケツ</t>
    </rPh>
    <rPh sb="31" eb="32">
      <t>サグ</t>
    </rPh>
    <rPh sb="36" eb="38">
      <t>イッチ</t>
    </rPh>
    <rPh sb="41" eb="43">
      <t>ハッピョウ</t>
    </rPh>
    <rPh sb="46" eb="48">
      <t>タイリツ</t>
    </rPh>
    <rPh sb="48" eb="50">
      <t>カクダイ</t>
    </rPh>
    <rPh sb="51" eb="52">
      <t>サ</t>
    </rPh>
    <rPh sb="56" eb="57">
      <t>ヨ</t>
    </rPh>
    <phoneticPr fontId="18"/>
  </si>
  <si>
    <t>対話が進めば南アジアの衝突抑止につながり、物流と投資の安定に寄与する。</t>
    <phoneticPr fontId="18"/>
  </si>
  <si>
    <t>イラン副外相は、ホルムズ海峡を通る船は軍からの許可が必要だと述べ、通航の管理を強める姿勢を示した。海峡の自由航行はなお不透明。</t>
    <rPh sb="3" eb="6">
      <t>フクガイショウ</t>
    </rPh>
    <rPh sb="12" eb="14">
      <t>カイキョウ</t>
    </rPh>
    <rPh sb="15" eb="16">
      <t>トオ</t>
    </rPh>
    <rPh sb="17" eb="18">
      <t>フネ</t>
    </rPh>
    <rPh sb="19" eb="20">
      <t>グン</t>
    </rPh>
    <rPh sb="23" eb="25">
      <t>キョカ</t>
    </rPh>
    <rPh sb="26" eb="28">
      <t>ヒツヨウ</t>
    </rPh>
    <rPh sb="30" eb="31">
      <t>ノ</t>
    </rPh>
    <rPh sb="33" eb="35">
      <t>ツウコウ</t>
    </rPh>
    <rPh sb="36" eb="38">
      <t>カンリ</t>
    </rPh>
    <rPh sb="39" eb="40">
      <t>ツヨ</t>
    </rPh>
    <rPh sb="42" eb="44">
      <t>シセイ</t>
    </rPh>
    <rPh sb="45" eb="46">
      <t>シメ</t>
    </rPh>
    <rPh sb="49" eb="51">
      <t>カイキョウ</t>
    </rPh>
    <rPh sb="52" eb="54">
      <t>ジユウ</t>
    </rPh>
    <rPh sb="54" eb="56">
      <t>コウコウ</t>
    </rPh>
    <rPh sb="59" eb="62">
      <t>フトウメイ</t>
    </rPh>
    <phoneticPr fontId="18"/>
  </si>
  <si>
    <t>アメリカとイランの停戦協議の進展に影響が及ぶ可能性。</t>
    <rPh sb="9" eb="13">
      <t>テイセンキョウギ</t>
    </rPh>
    <rPh sb="14" eb="16">
      <t>シンテン</t>
    </rPh>
    <rPh sb="17" eb="19">
      <t>エイキョウ</t>
    </rPh>
    <rPh sb="20" eb="21">
      <t>オヨ</t>
    </rPh>
    <rPh sb="22" eb="25">
      <t>カノウセイ</t>
    </rPh>
    <phoneticPr fontId="18"/>
  </si>
  <si>
    <t>イギリスは、アメリカとイランの停戦合意の対象ににレバノンも含めるよう求め、停戦対象の拡大を後押ししている。中東全体の戦線拡大を抑える狙いがある。</t>
    <rPh sb="17" eb="19">
      <t>ゴウイ</t>
    </rPh>
    <rPh sb="20" eb="22">
      <t>タイショウ</t>
    </rPh>
    <phoneticPr fontId="18"/>
  </si>
  <si>
    <t>イスラエルによるレバノンのヒズボラ攻撃は中東地域の不安定化を後押しする可能性が高い。</t>
    <rPh sb="17" eb="19">
      <t>コウゲキ</t>
    </rPh>
    <rPh sb="20" eb="24">
      <t>チュウトウチイキ</t>
    </rPh>
    <rPh sb="25" eb="29">
      <t>フアンテイカ</t>
    </rPh>
    <rPh sb="30" eb="32">
      <t>アトオ</t>
    </rPh>
    <rPh sb="35" eb="38">
      <t>カノウセイ</t>
    </rPh>
    <rPh sb="39" eb="40">
      <t>タカ</t>
    </rPh>
    <phoneticPr fontId="18"/>
  </si>
  <si>
    <t>イスラエル軍はレバノン全土へ攻撃を実施し、ヒズボラとの停戦合意は先行き不透明になった。戦闘は中東の緊張をさらに押し上げている。</t>
    <rPh sb="5" eb="6">
      <t>グン</t>
    </rPh>
    <rPh sb="11" eb="13">
      <t>ゼンド</t>
    </rPh>
    <rPh sb="14" eb="16">
      <t>コウゲキ</t>
    </rPh>
    <rPh sb="17" eb="19">
      <t>ジッシ</t>
    </rPh>
    <rPh sb="27" eb="29">
      <t>テイセン</t>
    </rPh>
    <rPh sb="29" eb="31">
      <t>ゴウイ</t>
    </rPh>
    <rPh sb="32" eb="34">
      <t>サキユ</t>
    </rPh>
    <rPh sb="35" eb="38">
      <t>フトウメイ</t>
    </rPh>
    <rPh sb="43" eb="45">
      <t>セントウ</t>
    </rPh>
    <rPh sb="46" eb="48">
      <t>チュウトウ</t>
    </rPh>
    <rPh sb="49" eb="51">
      <t>キンチョウ</t>
    </rPh>
    <rPh sb="55" eb="56">
      <t>オ</t>
    </rPh>
    <rPh sb="57" eb="58">
      <t>ア</t>
    </rPh>
    <phoneticPr fontId="18"/>
  </si>
  <si>
    <t>戦闘が続けばレバノン情勢と海上輸送がさらに不安定化し、原油価格にも響く。</t>
    <phoneticPr fontId="18"/>
  </si>
  <si>
    <t>トランプ大統領、PTSD治療用の薬剤研究等を促進する大統領令に署名</t>
    <rPh sb="4" eb="7">
      <t>ダイトウリョウ</t>
    </rPh>
    <rPh sb="12" eb="14">
      <t>チリョウ</t>
    </rPh>
    <rPh sb="14" eb="15">
      <t>ヨウ</t>
    </rPh>
    <rPh sb="16" eb="20">
      <t>ヤクザイケンキュウ</t>
    </rPh>
    <rPh sb="20" eb="21">
      <t>ナド</t>
    </rPh>
    <rPh sb="22" eb="24">
      <t>ソクシン</t>
    </rPh>
    <rPh sb="26" eb="30">
      <t>ダイトウリョウレイ</t>
    </rPh>
    <rPh sb="31" eb="33">
      <t>ショメイ</t>
    </rPh>
    <phoneticPr fontId="18"/>
  </si>
  <si>
    <t>PTSD治療で使われるサイケデリック薬の研究と利用を急ぐ大統領令に署名した。米国内での審査やアクセスを緩める狙いだ。</t>
    <phoneticPr fontId="18"/>
  </si>
  <si>
    <t>ホルムズ海峡が再封鎖される</t>
    <rPh sb="4" eb="6">
      <t>カイキョウ</t>
    </rPh>
    <rPh sb="7" eb="10">
      <t>サイフウサ</t>
    </rPh>
    <phoneticPr fontId="18"/>
  </si>
  <si>
    <t>イランがホルムズ海峡は再び封鎖されたと周辺船舶に無線通告した。銃撃も報告され、商船は通過を断念する動きが出た。</t>
    <rPh sb="19" eb="21">
      <t>シュウヘン</t>
    </rPh>
    <phoneticPr fontId="18"/>
  </si>
  <si>
    <t>北朝鮮が複数の弾道ミサイルを発射</t>
    <rPh sb="0" eb="3">
      <t>キタチョウセン</t>
    </rPh>
    <rPh sb="4" eb="6">
      <t>フクスウ</t>
    </rPh>
    <rPh sb="7" eb="9">
      <t>ダンドウ</t>
    </rPh>
    <rPh sb="14" eb="16">
      <t>ハッシャ</t>
    </rPh>
    <phoneticPr fontId="18"/>
  </si>
  <si>
    <t>北朝鮮が正体不明の弾道ミサイルを発射したと、聯合ニュースが伝えた。発射の詳細は不明だが、朝鮮半島の緊張が再び高まった。</t>
    <phoneticPr fontId="18"/>
  </si>
  <si>
    <t>中国とトルクメニスタンが関係強化を発表</t>
    <rPh sb="0" eb="2">
      <t>チュウゴク</t>
    </rPh>
    <rPh sb="12" eb="16">
      <t>カンケイキョウカ</t>
    </rPh>
    <rPh sb="17" eb="19">
      <t>ハッピョウ</t>
    </rPh>
    <phoneticPr fontId="18"/>
  </si>
  <si>
    <t>天然ガス分野における両国関係強化が念頭に置かれ、協力協定に署名が行われた。</t>
    <rPh sb="0" eb="2">
      <t>テンネン</t>
    </rPh>
    <rPh sb="4" eb="6">
      <t>ブンヤ</t>
    </rPh>
    <rPh sb="10" eb="14">
      <t>リョウコクカンケイ</t>
    </rPh>
    <rPh sb="14" eb="16">
      <t>キョウカ</t>
    </rPh>
    <rPh sb="17" eb="19">
      <t>ネントウ</t>
    </rPh>
    <rPh sb="20" eb="21">
      <t>オ</t>
    </rPh>
    <rPh sb="24" eb="28">
      <t>キョウリョクキョウテイ</t>
    </rPh>
    <rPh sb="29" eb="31">
      <t>ショメイ</t>
    </rPh>
    <rPh sb="32" eb="33">
      <t>オコナ</t>
    </rPh>
    <phoneticPr fontId="18"/>
  </si>
  <si>
    <t>トルクメニスタン</t>
    <phoneticPr fontId="18"/>
  </si>
  <si>
    <t>モディ首相による議会拡大と女性議員増員の試みが失敗</t>
    <phoneticPr fontId="18"/>
  </si>
  <si>
    <t>モディ首相が進めた議会拡大と女性議員数増加の試みが、野党の反対で実現せず。与野党対立で失速した。</t>
    <rPh sb="3" eb="5">
      <t>シュショウ</t>
    </rPh>
    <rPh sb="6" eb="7">
      <t>スス</t>
    </rPh>
    <rPh sb="9" eb="13">
      <t>ギカイカクダイ</t>
    </rPh>
    <rPh sb="14" eb="21">
      <t>ジョセイギインスウゾウカ</t>
    </rPh>
    <rPh sb="22" eb="23">
      <t>ココロ</t>
    </rPh>
    <phoneticPr fontId="18"/>
  </si>
  <si>
    <t>イランがホルムズ海峡の開放を発表</t>
    <rPh sb="8" eb="10">
      <t>カイキョウ</t>
    </rPh>
    <rPh sb="11" eb="13">
      <t>カイホウ</t>
    </rPh>
    <rPh sb="14" eb="16">
      <t>ハッピョウ</t>
    </rPh>
    <phoneticPr fontId="18"/>
  </si>
  <si>
    <t>イランが、イスラエルとヒズボラの10日停戦期間中はホルムズ海峡を開放すると表明した。停戦と地域和平の進展を後押しする動きとして受け止められた。</t>
    <phoneticPr fontId="18"/>
  </si>
  <si>
    <t>ルーマニア</t>
    <phoneticPr fontId="18"/>
  </si>
  <si>
    <t>ルーマニア首相、解任要求も続投を表明</t>
    <rPh sb="5" eb="7">
      <t>シュショウ</t>
    </rPh>
    <rPh sb="8" eb="12">
      <t>カイニンヨウキュウ</t>
    </rPh>
    <rPh sb="13" eb="15">
      <t>ゾクトウ</t>
    </rPh>
    <rPh sb="16" eb="18">
      <t>ヒョウメイ</t>
    </rPh>
    <phoneticPr fontId="18"/>
  </si>
  <si>
    <t>ルーマニアのベロジャン首相は、連立与党による解任要求に対して辞任しない事を表明。政権内の対立が深まり、先行きは不透明になっている。</t>
    <rPh sb="17" eb="19">
      <t>ヨトウ</t>
    </rPh>
    <rPh sb="22" eb="26">
      <t>カイニンヨウキュウ</t>
    </rPh>
    <rPh sb="27" eb="28">
      <t>タイ</t>
    </rPh>
    <rPh sb="35" eb="36">
      <t>コト</t>
    </rPh>
    <rPh sb="37" eb="39">
      <t>ヒョウメイ</t>
    </rPh>
    <phoneticPr fontId="18"/>
  </si>
  <si>
    <t>イスラエルとレバノンが10日間の停戦に合意</t>
    <phoneticPr fontId="18"/>
  </si>
  <si>
    <t>米トランプ大統領が、イスラエルとレバノンが10日間の停戦で合意したと発表した。ヒズボラの同行は不透明で、状況は要注視。</t>
    <rPh sb="0" eb="1">
      <t>ベイ</t>
    </rPh>
    <rPh sb="44" eb="46">
      <t>ドウコウ</t>
    </rPh>
    <rPh sb="47" eb="50">
      <t>フトウメイ</t>
    </rPh>
    <rPh sb="52" eb="54">
      <t>ジョウキョウ</t>
    </rPh>
    <rPh sb="55" eb="58">
      <t>ヨウチュウシ</t>
    </rPh>
    <phoneticPr fontId="18"/>
  </si>
  <si>
    <t>ソマリア、イスラエルによるソマリランドへの大使派遣について抗議</t>
    <rPh sb="21" eb="25">
      <t>タイシハケン</t>
    </rPh>
    <phoneticPr fontId="18"/>
  </si>
  <si>
    <t>ソマリアは、独立を主張するソマリランドへイスラエルが大使任命を進めたことに反発した。国家主権をめぐる対立が、アフリカ外交の争点になっている。</t>
    <rPh sb="6" eb="8">
      <t>ドクリツ</t>
    </rPh>
    <rPh sb="9" eb="11">
      <t>シュチョウ</t>
    </rPh>
    <phoneticPr fontId="18"/>
  </si>
  <si>
    <t>スペインとブラジルの首脳会談</t>
    <rPh sb="10" eb="14">
      <t>シュノウカイダン</t>
    </rPh>
    <phoneticPr fontId="18"/>
  </si>
  <si>
    <t>スペインのサンチェス首相とブラジルのルラ大統領が初の会談を実施。貿易や宇宙、重要鉱物、AIなど15件の協定に署名した。両首脳は、トランプ政権への対抗軸となる進歩派連携を強める姿勢を示した。</t>
    <rPh sb="29" eb="31">
      <t>ジッシ</t>
    </rPh>
    <phoneticPr fontId="18"/>
  </si>
  <si>
    <t>メキシコとスペインの首脳会談</t>
    <rPh sb="10" eb="14">
      <t>シュノウカイダン</t>
    </rPh>
    <phoneticPr fontId="18"/>
  </si>
  <si>
    <t>スペインのサンチェス首相とメキシコのシェインバウム大統領がバルセロナで会談。8年ぶりのメキシコ大統領訪問で関係改善を示した。両国は貿易や投資の拡大も確認した。</t>
    <phoneticPr fontId="18"/>
  </si>
  <si>
    <t>ブラジルら、キューバ支援を約束</t>
    <rPh sb="10" eb="12">
      <t>シエン</t>
    </rPh>
    <rPh sb="13" eb="15">
      <t>ヤクソク</t>
    </rPh>
    <phoneticPr fontId="18"/>
  </si>
  <si>
    <t>ブラジル、スペイン、メキシコの3か国は、アメリカの制裁で深刻化したキューバの人道危機を和らげるため、協調して支援を増やすと表明した。3首脳は国連憲章に沿った対話も呼びかけた。</t>
    <phoneticPr fontId="18"/>
  </si>
  <si>
    <t>チリ</t>
    <phoneticPr fontId="18"/>
  </si>
  <si>
    <t>チリが初めて移民の強制送還を実施した</t>
    <rPh sb="3" eb="4">
      <t>ハジ</t>
    </rPh>
    <rPh sb="6" eb="8">
      <t>イミン</t>
    </rPh>
    <rPh sb="9" eb="13">
      <t>キョウセイソウカン</t>
    </rPh>
    <rPh sb="14" eb="16">
      <t>ジッシ</t>
    </rPh>
    <phoneticPr fontId="18"/>
  </si>
  <si>
    <t>チリのカスト政権が、移民規制強化策の一環として初めて強制送還便を実施した。40人の外国人がボリビア、コロンビア、エクアドルへ送られた。</t>
    <phoneticPr fontId="18"/>
  </si>
  <si>
    <t>日本とオーストラリア、70億ドル規模の軍艦調達契約を締結</t>
    <rPh sb="0" eb="2">
      <t>ニホン</t>
    </rPh>
    <rPh sb="21" eb="23">
      <t>チョウタツ</t>
    </rPh>
    <rPh sb="23" eb="25">
      <t>ケイヤク</t>
    </rPh>
    <phoneticPr fontId="18"/>
  </si>
  <si>
    <t>オーストラリアと日本は、約100億豪ドル規模の護衛艦調達契約を結び、3隻は日本で建造、残り8隻は豪州で建造する計画を正式に始動させた。日本にとっては2014年の輸出規制緩和後で最大級の防衛装備輸出となる。</t>
    <phoneticPr fontId="18"/>
  </si>
  <si>
    <t>北朝鮮の弾道ミサイル発射</t>
    <rPh sb="0" eb="3">
      <t>キタチョウセン</t>
    </rPh>
    <rPh sb="4" eb="6">
      <t>ダンドウ</t>
    </rPh>
    <rPh sb="10" eb="12">
      <t>ハッシャ</t>
    </rPh>
    <phoneticPr fontId="18"/>
  </si>
  <si>
    <t>北朝鮮が日本海に向けて弾道ミサイルを発射。韓国軍によると、ミサイルは約140キロ飛び、日本の排他的経済水域への侵入は確認されていない。</t>
    <rPh sb="4" eb="7">
      <t>ニホンカイ</t>
    </rPh>
    <phoneticPr fontId="18"/>
  </si>
  <si>
    <t>マレーシア</t>
    <phoneticPr fontId="18"/>
  </si>
  <si>
    <t>マレーシアとオーストラリア、エネルギー連携を加速</t>
    <rPh sb="19" eb="21">
      <t>レンケイ</t>
    </rPh>
    <rPh sb="22" eb="24">
      <t>カソク</t>
    </rPh>
    <phoneticPr fontId="18"/>
  </si>
  <si>
    <t>マレーシアのアンワル首相は、余剰燃料をオーストラリア向けに優先供給すると表明した。豪アルバニージー首相との会談では、燃料や農産品の貿易拡大も確認された。</t>
    <rPh sb="41" eb="42">
      <t>ゴウ</t>
    </rPh>
    <phoneticPr fontId="18"/>
  </si>
  <si>
    <t>バーレーン</t>
    <phoneticPr fontId="18"/>
  </si>
  <si>
    <t>バーレーンの格付けが下げられる</t>
    <rPh sb="6" eb="8">
      <t>カクヅ</t>
    </rPh>
    <rPh sb="10" eb="11">
      <t>サ</t>
    </rPh>
    <phoneticPr fontId="18"/>
  </si>
  <si>
    <t>ムーディーズが、バーレーンの格付け見通しを「安定的」から「ネガティブ」に引き下げた。中東紛争でホルムズ海峡の船舶輸送や航空便が乱れ、財政悪化への懸念が強まった。</t>
    <phoneticPr fontId="18"/>
  </si>
  <si>
    <t>アメリカの医療制度や薬規制の議論が動き、日本でも精神医療や創薬の流れに注目が集まる。</t>
    <phoneticPr fontId="18"/>
  </si>
  <si>
    <t>https://www.bloomberg.com/news/articles/2026-04-18/trump-signs-order-easing-restrictions-on-psychedelic-drugs?srnd=phx-politics</t>
  </si>
  <si>
    <t>原油とLNGの要衝が揺らぎ、世界の海運とエネルギー価格に直撃する。アメリカとイランの停戦協議にも悪影響</t>
    <rPh sb="42" eb="46">
      <t>テイセンキョウギ</t>
    </rPh>
    <rPh sb="48" eb="51">
      <t>アクエイキョウ</t>
    </rPh>
    <phoneticPr fontId="18"/>
  </si>
  <si>
    <t>https://www.bloomberg.com/news/articles/2026-04-18/iran-broadcasts-to-ships-that-hormuz-is-shut-two-owners-say?srnd=phx-politics</t>
  </si>
  <si>
    <t>日本海側の警戒が強まり、日韓の防衛態勢や住民避難の備えが問われる。</t>
    <phoneticPr fontId="18"/>
  </si>
  <si>
    <t>https://www.bloomberg.com/news/articles/2026-04-18/north-korea-tests-unidentified-ballistic-missile-yonhap-says-mo4vbi1i?srnd=phx-politics</t>
  </si>
  <si>
    <t>中国のガス調達網が広がれば、中東依存の緩和と地域競争の強まりが進み、日本のLNG調達にも影響しうる。</t>
    <phoneticPr fontId="18"/>
  </si>
  <si>
    <t>https://www.bloomberg.com/news/articles/2026-04-18/china-turkmenistan-deepen-gas-ties-as-project-breaks-ground?srnd=phx-politics</t>
  </si>
  <si>
    <t>https://www.bloomberg.com/news/articles/2026-04-17/modi-s-bid-to-expand-parliament-boost-women-lawmakers-fails?srnd=phx-politics</t>
  </si>
  <si>
    <t>海峡の通航が安定すれば、原油とLNGの供給不安が和らぐほか、アメリカとの停戦合意にも追い風となる。</t>
    <rPh sb="36" eb="40">
      <t>テイセンゴウイ</t>
    </rPh>
    <rPh sb="42" eb="43">
      <t>オ</t>
    </rPh>
    <rPh sb="44" eb="45">
      <t>カゼ</t>
    </rPh>
    <phoneticPr fontId="18"/>
  </si>
  <si>
    <t>https://www.bloomberg.com/news/articles/2026-04-17/iran-says-hormuz-to-open-during-lebanon-truce-in-boost-for-peace?srnd=phx-politics</t>
  </si>
  <si>
    <t>ルーマニアの政局不安はEU内の政策調整を遅らせ、東欧の投資環境にも影響する。</t>
    <phoneticPr fontId="18"/>
  </si>
  <si>
    <t>https://www.bloomberg.com/news/articles/2026-04-17/romania-premier-vows-to-stay-on-as-top-party-pushes-for-ouster?srnd=phx-politics</t>
  </si>
  <si>
    <t>停戦が続けば地域の安定とアメリカ・イラン間の停戦合意成立に向けた弾みとなる可能性。</t>
    <rPh sb="0" eb="2">
      <t>テイセン</t>
    </rPh>
    <rPh sb="3" eb="4">
      <t>ツヅ</t>
    </rPh>
    <rPh sb="6" eb="8">
      <t>チイキ</t>
    </rPh>
    <rPh sb="9" eb="11">
      <t>アンテイ</t>
    </rPh>
    <rPh sb="20" eb="21">
      <t>アイダ</t>
    </rPh>
    <rPh sb="22" eb="26">
      <t>テイセンゴウイ</t>
    </rPh>
    <rPh sb="26" eb="28">
      <t>セイリツ</t>
    </rPh>
    <rPh sb="29" eb="30">
      <t>ム</t>
    </rPh>
    <rPh sb="32" eb="33">
      <t>ハズ</t>
    </rPh>
    <rPh sb="37" eb="40">
      <t>カノウセイ</t>
    </rPh>
    <phoneticPr fontId="18"/>
  </si>
  <si>
    <t>https://www.bloomberg.com/news/articles/2026-04-16/trump-says-israel-lebanon-agree-to-10-day-ceasefire?srnd=phx-politics</t>
  </si>
  <si>
    <t>中東とアフリカの外交摩擦が広がれば、各国の承認問題や港湾・安全保障の協力にも影響する。</t>
    <phoneticPr fontId="18"/>
  </si>
  <si>
    <t>https://www.bloomberg.com/news/articles/2026-04-16/somalia-rejects-israel-s-naming-of-envoy-for-breakaway-region?srnd=phx-politics</t>
  </si>
  <si>
    <t>米国主導の圧力に対し、欧州と中南米の連携が強まれば、通商や資源供給網の組み替えが進む。日本にとっても重要鉱物や対EU・対中南米外交の面で無関係ではない。</t>
    <phoneticPr fontId="18"/>
  </si>
  <si>
    <t>https://www.bloomberg.com/news/articles/2026-04-17/spain-signs-deals-with-brazil-as-sanchez-builds-anti-trump-bloc?srnd=phx-politics</t>
  </si>
  <si>
    <t>欧州と中南米の結び付きが強まれば、通商やエネルギー投資の流れが変わる。日本企業にとっても、対欧州・対中南米戦略を見直す材料になる。</t>
    <phoneticPr fontId="18"/>
  </si>
  <si>
    <t>https://www.reuters.com/world/americas/spains-sanchez-mexicos-sheinbaum-hold-meeting-leftist-summit-2026-04-18/</t>
  </si>
  <si>
    <t>中南米と欧州の連携が強まれば、対米関係をめぐる外交の緊張が高まりうる一方、人道支援の流れは強まる。アメリカの外交政策を受け、世界各国で新たな枠組みの形成が加速しているとも取れる。</t>
    <rPh sb="54" eb="58">
      <t>ガイコウセイサク</t>
    </rPh>
    <rPh sb="59" eb="60">
      <t>ウ</t>
    </rPh>
    <rPh sb="62" eb="66">
      <t>セカイカッコク</t>
    </rPh>
    <rPh sb="67" eb="68">
      <t>アラ</t>
    </rPh>
    <rPh sb="70" eb="72">
      <t>ワクグ</t>
    </rPh>
    <rPh sb="74" eb="76">
      <t>ケイセイ</t>
    </rPh>
    <rPh sb="77" eb="79">
      <t>カソク</t>
    </rPh>
    <rPh sb="85" eb="86">
      <t>ト</t>
    </rPh>
    <phoneticPr fontId="18"/>
  </si>
  <si>
    <t>https://www.reuters.com/world/americas/brazil-mexico-spain-pledge-send-more-aid-cuba-2026-04-18/</t>
  </si>
  <si>
    <t>不法移民対策の厳格化が進み、南米域内の人の移動や治安政策に影響する。</t>
    <phoneticPr fontId="18"/>
  </si>
  <si>
    <t>https://www.reuters.com/legal/government/chile-carries-out-first-deportation-flight-part-new-migration-plan-2026-04-16/</t>
  </si>
  <si>
    <t>日豪の防衛協力が深まり、中国の影響力拡大をにらんだ海上抑止が強まる。日本の防衛産業やインド太平洋の安全保障にも追い風となる。</t>
    <phoneticPr fontId="18"/>
  </si>
  <si>
    <t>https://www.reuters.com/world/china/australia-japan-sign-contracts-start-7-billion-warship-deal-2026-04-18/</t>
  </si>
  <si>
    <t>朝鮮半島の緊張を高め、日本の警戒態勢や日米韓の連携強化に影響する。海上・ミサイル防衛の重要性も再び意識される。</t>
    <phoneticPr fontId="18"/>
  </si>
  <si>
    <t>https://www.reuters.com/world/asia-pacific/north-korea-fires-ballistic-missile-yonhap-news-says-2026-04-18/</t>
  </si>
  <si>
    <t>中東の混乱を受け、オーストラリアとマレーシアが供給網の分散を急ぐ動き。日本にとっても、LNGや燃料の調達先確保と価格安定を考える上で重要な流れとなる。</t>
    <phoneticPr fontId="18"/>
  </si>
  <si>
    <t>https://www.reuters.com/business/energy/australia-malaysia-pledge-strengthen-energy-supply-chain-resilience-wake-iran-2026-04-16/</t>
  </si>
  <si>
    <t>原油輸送の混乱はバーレーンの歳入と外貨準備を圧迫し、中東の信用不安を広げる</t>
    <phoneticPr fontId="18"/>
  </si>
  <si>
    <t>https://www.reuters.com/world/middle-east/moodys-changes-bahrain-outlook-negative-over-middle-east-conflict-2026-04-17/</t>
  </si>
  <si>
    <t>エチオピア北部ティグレ州にて主要政党が支配権復活を宣言</t>
    <rPh sb="5" eb="7">
      <t>ホクブ</t>
    </rPh>
    <rPh sb="11" eb="12">
      <t>シュウ</t>
    </rPh>
    <rPh sb="14" eb="18">
      <t>シュヨウセイトウ</t>
    </rPh>
    <rPh sb="19" eb="22">
      <t>シハイケン</t>
    </rPh>
    <rPh sb="22" eb="24">
      <t>フッカツ</t>
    </rPh>
    <rPh sb="25" eb="27">
      <t>センゲン</t>
    </rPh>
    <phoneticPr fontId="18"/>
  </si>
  <si>
    <t>エチオピア北部ティグレ州の主要政党TPLFが、暫定政権を廃し内戦前の州政府を復活させると表明。2022年の和平合意が事実上破棄され、再戦の懸念が強まっている。</t>
    <rPh sb="28" eb="29">
      <t>ハイ</t>
    </rPh>
    <rPh sb="58" eb="61">
      <t>ジジツジョウ</t>
    </rPh>
    <rPh sb="61" eb="63">
      <t>ハキ</t>
    </rPh>
    <phoneticPr fontId="18"/>
  </si>
  <si>
    <t>パキスタンとイランの首脳会談</t>
    <rPh sb="10" eb="14">
      <t>シュノウカイダン</t>
    </rPh>
    <phoneticPr fontId="18"/>
  </si>
  <si>
    <t>パキスタンのシャリフ首相とイランのペゼシュキアン大統領が電話会談を実施。サウジアラビア、カタール、トルコ首脳との対話内容も共有され、パキスタンは地域の平和と安定の仲介役を続ける考えを示した。</t>
    <rPh sb="30" eb="32">
      <t>カイダン</t>
    </rPh>
    <rPh sb="33" eb="35">
      <t>ジッシ</t>
    </rPh>
    <rPh sb="61" eb="63">
      <t>キョウユウ</t>
    </rPh>
    <phoneticPr fontId="18"/>
  </si>
  <si>
    <t>EUがシリアとの協力協定再開を提案</t>
    <rPh sb="8" eb="12">
      <t>キョウリョクキョウテイ</t>
    </rPh>
    <rPh sb="12" eb="14">
      <t>サイカイ</t>
    </rPh>
    <rPh sb="15" eb="17">
      <t>テイアン</t>
    </rPh>
    <phoneticPr fontId="18"/>
  </si>
  <si>
    <t>EUがシリアとの1978年の協力協定を全面再開する案を提示。EUは5月の正式協議を前に関与を強めており、シリアの国際復帰が進む。</t>
    <rPh sb="27" eb="29">
      <t>テイジ</t>
    </rPh>
    <phoneticPr fontId="18"/>
  </si>
  <si>
    <t>イラクがシリアとの国境検問所を再開</t>
    <rPh sb="9" eb="14">
      <t>コッキョウケンモンジョ</t>
    </rPh>
    <rPh sb="15" eb="17">
      <t>サイカイ</t>
    </rPh>
    <phoneticPr fontId="18"/>
  </si>
  <si>
    <t>イラクがシリアとのラビア国境検問所を10年以上ぶりに再開。湾岸の海上輸送が混乱する中、燃料油の陸上輸出を増やし、国境貿易も立て直す狙い。</t>
    <phoneticPr fontId="18"/>
  </si>
  <si>
    <t>中国とサウジアラビア首脳の電話会談</t>
    <rPh sb="0" eb="2">
      <t>チュウゴク</t>
    </rPh>
    <rPh sb="10" eb="12">
      <t>シュノウ</t>
    </rPh>
    <rPh sb="13" eb="17">
      <t>デンワカイダン</t>
    </rPh>
    <phoneticPr fontId="18"/>
  </si>
  <si>
    <t>中国の習近平国家主席がサウジのムハンマド皇太子と電話会談を実施。ホルムズ海峡の通常航行を維持するよう求めた。中国はイラン情勢の再悪化に警戒しており、外交での沈静化を訴えた。</t>
    <rPh sb="0" eb="2">
      <t>チュウゴク</t>
    </rPh>
    <rPh sb="26" eb="28">
      <t>カイダン</t>
    </rPh>
    <rPh sb="29" eb="31">
      <t>ジッシ</t>
    </rPh>
    <phoneticPr fontId="18"/>
  </si>
  <si>
    <t>ブルガリア</t>
    <phoneticPr fontId="18"/>
  </si>
  <si>
    <t>ブルガリア議会選挙</t>
    <rPh sb="5" eb="9">
      <t>ギカイセンキョ</t>
    </rPh>
    <phoneticPr fontId="18"/>
  </si>
  <si>
    <t>ブルガリアの議会選挙にて、親ロシア派のラデフ前大統領が率いる政党が勝利。EUにおける対ロシア制裁やウクライナへの支援に影響が出る可能性。</t>
    <rPh sb="6" eb="10">
      <t>ギカイセンキョ</t>
    </rPh>
    <rPh sb="17" eb="18">
      <t>ハ</t>
    </rPh>
    <rPh sb="30" eb="32">
      <t>セイトウ</t>
    </rPh>
    <rPh sb="33" eb="35">
      <t>ショウリ</t>
    </rPh>
    <rPh sb="42" eb="43">
      <t>タイ</t>
    </rPh>
    <rPh sb="46" eb="48">
      <t>セイサイ</t>
    </rPh>
    <rPh sb="56" eb="58">
      <t>シエン</t>
    </rPh>
    <rPh sb="59" eb="61">
      <t>エイキョウ</t>
    </rPh>
    <rPh sb="62" eb="63">
      <t>デ</t>
    </rPh>
    <rPh sb="64" eb="67">
      <t>カノウセイ</t>
    </rPh>
    <phoneticPr fontId="18"/>
  </si>
  <si>
    <t>ルーマニア最大与党が首相に退陣を要求</t>
    <rPh sb="5" eb="7">
      <t>サイダイ</t>
    </rPh>
    <rPh sb="7" eb="9">
      <t>ヨトウ</t>
    </rPh>
    <rPh sb="10" eb="12">
      <t>シュショウ</t>
    </rPh>
    <rPh sb="13" eb="15">
      <t>タイジン</t>
    </rPh>
    <rPh sb="16" eb="18">
      <t>ヨウキュウ</t>
    </rPh>
    <phoneticPr fontId="18"/>
  </si>
  <si>
    <t>ルーマニアの与党社会民主党がボロジャン首相への支持を撤回し、辞任を要求。閣僚6人も週内に内閣から離脱する見通しで、EU資金や格付けへの不安が高まっている。</t>
    <rPh sb="6" eb="8">
      <t>ヨトウ</t>
    </rPh>
    <rPh sb="44" eb="46">
      <t>ナイカク</t>
    </rPh>
    <phoneticPr fontId="18"/>
  </si>
  <si>
    <t>チリとアメリカが鉱業と安全保障の協定に署名</t>
    <rPh sb="8" eb="10">
      <t>コウギョウ</t>
    </rPh>
    <rPh sb="11" eb="15">
      <t>アンゼンホショウ</t>
    </rPh>
    <rPh sb="16" eb="18">
      <t>キョウテイ</t>
    </rPh>
    <rPh sb="19" eb="21">
      <t>ショメイ</t>
    </rPh>
    <phoneticPr fontId="18"/>
  </si>
  <si>
    <t>チリとアメリカが鉱業と安全保障分野の協定に署名。治安維持に関してアメリカから100万ドル規模の拠出が含まれ、麻薬取引やサイバー犯罪対策、重要鉱物をめぐる協議も進む。</t>
    <rPh sb="11" eb="15">
      <t>アンゼンホショウ</t>
    </rPh>
    <rPh sb="15" eb="17">
      <t>ブンヤ</t>
    </rPh>
    <rPh sb="18" eb="20">
      <t>キョウテイ</t>
    </rPh>
    <rPh sb="21" eb="23">
      <t>ショメイ</t>
    </rPh>
    <rPh sb="26" eb="28">
      <t>イジ</t>
    </rPh>
    <rPh sb="29" eb="30">
      <t>カン</t>
    </rPh>
    <rPh sb="44" eb="46">
      <t>キボ</t>
    </rPh>
    <phoneticPr fontId="18"/>
  </si>
  <si>
    <t>アメリカがブラジルの駐在武官に国外退去を要請</t>
    <rPh sb="10" eb="14">
      <t>チュウザイブカン</t>
    </rPh>
    <rPh sb="15" eb="19">
      <t>コクガイタイキョ</t>
    </rPh>
    <rPh sb="20" eb="22">
      <t>ヨウセイ</t>
    </rPh>
    <phoneticPr fontId="18"/>
  </si>
  <si>
    <t>アメリカ政府が、ブラジルの治安担当官であるカルヴァーリョ氏に国外退去を要請。背景には、ブラジル情報機関幹部のラマージェン氏をICEが一時拘束した件がある。</t>
    <rPh sb="30" eb="34">
      <t>コクガイタイキョ</t>
    </rPh>
    <rPh sb="35" eb="37">
      <t>ヨウセイ</t>
    </rPh>
    <phoneticPr fontId="18"/>
  </si>
  <si>
    <t>日本とメキシコがエネルギー協力で合意</t>
    <phoneticPr fontId="18"/>
  </si>
  <si>
    <t>日本の高市首相はメキシコのシェインバウム大統領と電話会談を実施。イラン戦争で世界の燃料供給が乱れる中、エネルギー協力を強めることで一致した。経済安保の対話枠組みのほか、日本企業の事業環境改善も議題に上った。</t>
    <rPh sb="0" eb="2">
      <t>ニホン</t>
    </rPh>
    <rPh sb="26" eb="28">
      <t>カイダン</t>
    </rPh>
    <rPh sb="29" eb="31">
      <t>ジッシ</t>
    </rPh>
    <rPh sb="41" eb="43">
      <t>ネンリョウ</t>
    </rPh>
    <rPh sb="96" eb="98">
      <t>ギダイ</t>
    </rPh>
    <rPh sb="99" eb="100">
      <t>ノボ</t>
    </rPh>
    <phoneticPr fontId="18"/>
  </si>
  <si>
    <t>アメリカが人権侵害疑惑でニカラグアの内務副大臣に制裁措置</t>
    <rPh sb="18" eb="20">
      <t>ナイム</t>
    </rPh>
    <phoneticPr fontId="18"/>
  </si>
  <si>
    <t>アメリカのルビオ国務長官は、ニカラグア内務副大臣であるノボア氏に人権侵害への関与があるとして、アメリカへの入国を禁止すると発表。</t>
    <rPh sb="56" eb="58">
      <t>キンシ</t>
    </rPh>
    <rPh sb="61" eb="63">
      <t>ハッピョウ</t>
    </rPh>
    <phoneticPr fontId="18"/>
  </si>
  <si>
    <t>ニカラグア</t>
    <phoneticPr fontId="18"/>
  </si>
  <si>
    <t>台湾</t>
    <rPh sb="0" eb="2">
      <t>タイワン</t>
    </rPh>
    <phoneticPr fontId="18"/>
  </si>
  <si>
    <t>台湾総統がアフリカ歴訪を中止</t>
    <rPh sb="0" eb="4">
      <t>タイワンソウトウ</t>
    </rPh>
    <rPh sb="9" eb="11">
      <t>レキホウ</t>
    </rPh>
    <rPh sb="12" eb="14">
      <t>チュウシ</t>
    </rPh>
    <phoneticPr fontId="18"/>
  </si>
  <si>
    <t>台湾の頼清徳総統がエスワティニ訪問を中止。台湾政府は、中国がセーシェル、モーリシャス、マダガスカルに圧力をかけ、専用機の上空通過許可を取り消させたと説明した。</t>
    <rPh sb="21" eb="23">
      <t>タイワン</t>
    </rPh>
    <phoneticPr fontId="18"/>
  </si>
  <si>
    <t>ソマリア、イエメン等、紅海に近い国々が不安定であり続ける中で、新たな紛争が生じることで、更なるサプライチェーンへの懸念が生まれうる。</t>
    <rPh sb="9" eb="10">
      <t>ナド</t>
    </rPh>
    <rPh sb="11" eb="13">
      <t>コウカイ</t>
    </rPh>
    <rPh sb="14" eb="15">
      <t>チカ</t>
    </rPh>
    <rPh sb="16" eb="18">
      <t>クニグニ</t>
    </rPh>
    <rPh sb="19" eb="22">
      <t>フアンテイ</t>
    </rPh>
    <rPh sb="25" eb="26">
      <t>ツヅ</t>
    </rPh>
    <rPh sb="28" eb="29">
      <t>ナカ</t>
    </rPh>
    <rPh sb="31" eb="32">
      <t>アラ</t>
    </rPh>
    <rPh sb="34" eb="36">
      <t>フンソウ</t>
    </rPh>
    <rPh sb="37" eb="38">
      <t>ショウ</t>
    </rPh>
    <rPh sb="44" eb="45">
      <t>サラ</t>
    </rPh>
    <rPh sb="57" eb="59">
      <t>ケネン</t>
    </rPh>
    <rPh sb="60" eb="61">
      <t>ウ</t>
    </rPh>
    <phoneticPr fontId="18"/>
  </si>
  <si>
    <t>https://www.reuters.com/world/africa/tigray-party-restore-pre-war-administration-jeopardising-northern-ethiopia-peace-2026-04-20/</t>
  </si>
  <si>
    <t>パキスタンの仲介でイランと米・イスラエルとの衝突緩和が期待される。パキスタンとしても隣国の不安定化が自国に波及することが危惧される。</t>
    <rPh sb="6" eb="8">
      <t>チュウカイ</t>
    </rPh>
    <rPh sb="13" eb="14">
      <t>ベイ</t>
    </rPh>
    <rPh sb="22" eb="24">
      <t>ショウトツ</t>
    </rPh>
    <rPh sb="24" eb="26">
      <t>カンワ</t>
    </rPh>
    <rPh sb="27" eb="29">
      <t>キタイ</t>
    </rPh>
    <rPh sb="42" eb="44">
      <t>リンゴク</t>
    </rPh>
    <rPh sb="45" eb="49">
      <t>フアンテイカ</t>
    </rPh>
    <rPh sb="50" eb="52">
      <t>ジコク</t>
    </rPh>
    <rPh sb="53" eb="55">
      <t>ハキュウ</t>
    </rPh>
    <rPh sb="60" eb="62">
      <t>キグ</t>
    </rPh>
    <phoneticPr fontId="18"/>
  </si>
  <si>
    <t>https://www.reuters.com/world/asia-pacific/pakistan-prime-minister-speaks-with-irans-president-2026-04-19/</t>
  </si>
  <si>
    <t>シリアとEUが関係を改善することで、シリアにおけるロシアの影響力が低下する可能性があるほか、中東からの移民抑制の効果も期待される。</t>
    <rPh sb="7" eb="9">
      <t>カンケイ</t>
    </rPh>
    <rPh sb="10" eb="12">
      <t>カイゼン</t>
    </rPh>
    <rPh sb="29" eb="32">
      <t>エイキョウリョク</t>
    </rPh>
    <rPh sb="33" eb="35">
      <t>テイカ</t>
    </rPh>
    <rPh sb="37" eb="40">
      <t>カノウセイ</t>
    </rPh>
    <rPh sb="46" eb="48">
      <t>チュウトウ</t>
    </rPh>
    <rPh sb="51" eb="53">
      <t>イミン</t>
    </rPh>
    <rPh sb="53" eb="55">
      <t>ヨクセイ</t>
    </rPh>
    <rPh sb="56" eb="58">
      <t>コウカ</t>
    </rPh>
    <rPh sb="59" eb="61">
      <t>キタイ</t>
    </rPh>
    <phoneticPr fontId="18"/>
  </si>
  <si>
    <t>https://www.reuters.com/world/middle-east/eu-proposes-full-resumption-cooperative-agreement-with-syria-2026-04-20/</t>
  </si>
  <si>
    <t>輸送ルートの分散は中東の供給不安を和らげる一方、紛争やホルムズ海峡の混乱が続けば原油や燃料の価格変動が続き、日本にも影響は及ぶ可能性が高い。</t>
    <rPh sb="51" eb="52">
      <t>ツヅ</t>
    </rPh>
    <rPh sb="58" eb="60">
      <t>エイキョウ</t>
    </rPh>
    <rPh sb="61" eb="62">
      <t>オヨ</t>
    </rPh>
    <rPh sb="63" eb="66">
      <t>カノウセイ</t>
    </rPh>
    <rPh sb="67" eb="68">
      <t>タカ</t>
    </rPh>
    <phoneticPr fontId="18"/>
  </si>
  <si>
    <t>https://www.reuters.com/world/middle-east/iraq-reopens-rabia-border-crossing-boost-fuel-oil-exports-via-syria-2026-04-20/</t>
  </si>
  <si>
    <t>海峡の緊張は原油輸送に直結し、日本のエネルギー価格や海運に影響しやすい。中国の介入は、中東不安の拡大を抑える材料になりうる。</t>
    <phoneticPr fontId="18"/>
  </si>
  <si>
    <t>https://www.reuters.com/world/china/chinas-xi-call-with-saudi-crown-prince-calls-strait-hormuz-remain-open-2026-04-20/</t>
  </si>
  <si>
    <t>EUやNATO加盟国の対ロシア政策が揺らげば、EUによる対ロシア制裁やエネルギー政策の先行きが読みにくくなる。日本にとっても、国際秩序と市場の安定を左右する動きとして注目される。</t>
    <rPh sb="15" eb="17">
      <t>セイサク</t>
    </rPh>
    <rPh sb="18" eb="19">
      <t>ユ</t>
    </rPh>
    <rPh sb="28" eb="29">
      <t>タイ</t>
    </rPh>
    <phoneticPr fontId="18"/>
  </si>
  <si>
    <t>https://www.reuters.com/world/europe/bulgarias-kremlin-friendly-ex-president-set-landslide-election-win-2026-04-20/</t>
  </si>
  <si>
    <t>政権不安が長引けばEU資金の失効や国債市場の不安が広がり、欧州の政治安定にも影響する。</t>
    <phoneticPr fontId="18"/>
  </si>
  <si>
    <t>https://www.reuters.com/world/biggest-party-romanian-coalition-set-demand-pms-resignation-political-crisis-2026-04-20/</t>
  </si>
  <si>
    <t>銅や重要鉱物の供給網強化は、日本の電池・電機産業にも関わる。治安協力の拡大は、中南米の投資環境の安定にもつながる。</t>
    <phoneticPr fontId="18"/>
  </si>
  <si>
    <t>https://www.reuters.com/business/chile-us-sign-agreements-mining-security-2026-04-20/</t>
  </si>
  <si>
    <t>アメリカとブラジルの対立が強まれば、外交や法執行をめぐる摩擦が長引く。中南米の政治不安は投資環境にも響く可能性がある。</t>
    <rPh sb="52" eb="55">
      <t>カノウセイ</t>
    </rPh>
    <phoneticPr fontId="18"/>
  </si>
  <si>
    <t>https://www.reuters.com/world/americas/us-asks-brazils-security-attache-leave-country-2026-04-20/</t>
  </si>
  <si>
    <t>中東の供給不安は日本の燃料価格や輸送コストに直結する。メキシコとの連携強化は、調達先の分散と企業活動の安定に役立つ。</t>
    <phoneticPr fontId="18"/>
  </si>
  <si>
    <t>https://www.reuters.com/world/asia-pacific/japan-mexico-agree-energy-cooperation-iran-war-disrupts-supplies-2026-04-21/</t>
  </si>
  <si>
    <t>対米圧力が強まれば、ニカラグア政府の人権問題は一段と国際的な焦点となる可能性。</t>
    <rPh sb="35" eb="38">
      <t>カノウセイ</t>
    </rPh>
    <phoneticPr fontId="18"/>
  </si>
  <si>
    <t>https://www.reuters.com/world/americas/us-sanctions-nicaragua-vice-minister-over-alleged-human-rights-abuses-2026-04-18/</t>
  </si>
  <si>
    <t>台湾と中国の外交戦はアフリカにも及んでおり、台湾の対外活動が制約されれば、日中台の関係緊張化や半導体供給網への不安が強まりやすい。</t>
    <rPh sb="45" eb="46">
      <t>カ</t>
    </rPh>
    <phoneticPr fontId="18"/>
  </si>
  <si>
    <t>https://www.reuters.com/world/china/taiwan-president-cancels-eswatini-trip-blames-chinese-pressure-african-countries-2026-04-21/</t>
  </si>
  <si>
    <t>background</t>
    <phoneticPr fontId="18"/>
  </si>
  <si>
    <t>impact</t>
    <phoneticPr fontId="18"/>
  </si>
  <si>
    <t>future</t>
    <phoneticPr fontId="18"/>
  </si>
  <si>
    <t>アメリカ</t>
    <phoneticPr fontId="18"/>
  </si>
  <si>
    <t>ホワイトハウス晩餐会でのテロ事件</t>
    <rPh sb="7" eb="10">
      <t>バンサンカイ</t>
    </rPh>
    <rPh sb="14" eb="16">
      <t>ジケン</t>
    </rPh>
    <phoneticPr fontId="18"/>
  </si>
  <si>
    <t>ホワイトハウスにて開かれた晩餐会で発砲があり、トランプ大統領やバンス副大統領らが避難。容疑者は拘束され、連邦高官にけがは確認されていない。</t>
    <rPh sb="9" eb="10">
      <t>ヒラ</t>
    </rPh>
    <rPh sb="13" eb="16">
      <t>バンサンカイ</t>
    </rPh>
    <phoneticPr fontId="18"/>
  </si>
  <si>
    <t>晩餐会は政権幹部や記者が集まる恒例行事。過去にもトランプ大統領を狙った事件があり、警備体制への関心が高まっていた。</t>
    <rPh sb="0" eb="3">
      <t>バンサンカイ</t>
    </rPh>
    <phoneticPr fontId="18"/>
  </si>
  <si>
    <t>捜査当局は動機や単独犯かを確認する見通し。大統領関連行事の警備強化や政治集会の安全対策が焦点になる。</t>
    <phoneticPr fontId="18"/>
  </si>
  <si>
    <t>アメリカとイランの停戦協議が中止に</t>
    <rPh sb="9" eb="13">
      <t>テイセンキョウギ</t>
    </rPh>
    <rPh sb="14" eb="16">
      <t>チュウシ</t>
    </rPh>
    <phoneticPr fontId="18"/>
  </si>
  <si>
    <t>トランプ大統領はイラン紛争をめぐる協議のためパキスタンへ向かう予定だった特使の派遣を取りやめたと発表。停戦の先行きに不透明感が広がっている。</t>
    <rPh sb="48" eb="50">
      <t>ハッピョウ</t>
    </rPh>
    <phoneticPr fontId="18"/>
  </si>
  <si>
    <t>米国とイランの対立では、パキスタンが仲介役となり協議継続を探っていた。だが双方の条件には隔たりが残る。</t>
    <phoneticPr fontId="18"/>
  </si>
  <si>
    <t>今後はイラン側が直接協議に応じるか、停戦が維持されるかが焦点となる。交渉停滞が軍事的緊張を再び高めるおそれもある。</t>
    <phoneticPr fontId="18"/>
  </si>
  <si>
    <t>イラン</t>
    <phoneticPr fontId="18"/>
  </si>
  <si>
    <t>パキスタン</t>
    <phoneticPr fontId="18"/>
  </si>
  <si>
    <t>米共和党の進める選挙区再編計画が失敗する</t>
    <rPh sb="0" eb="4">
      <t>ベイキョウワトウ</t>
    </rPh>
    <rPh sb="5" eb="6">
      <t>スス</t>
    </rPh>
    <rPh sb="8" eb="13">
      <t>センキョクサイヘン</t>
    </rPh>
    <rPh sb="13" eb="15">
      <t>ケイカク</t>
    </rPh>
    <rPh sb="16" eb="18">
      <t>シッパイ</t>
    </rPh>
    <phoneticPr fontId="18"/>
  </si>
  <si>
    <t>11月の中間選挙に向けた選挙区再編計画が失敗し、共和党内の中間選挙不安を強めていると報じられる。支持率低下や物価高への不満も重なり、接戦区の候補者に逆風となっている。</t>
    <rPh sb="2" eb="3">
      <t>ガツ</t>
    </rPh>
    <rPh sb="4" eb="8">
      <t>チュウカンセンキョ</t>
    </rPh>
    <rPh sb="9" eb="10">
      <t>ム</t>
    </rPh>
    <rPh sb="17" eb="19">
      <t>ケイカク</t>
    </rPh>
    <rPh sb="20" eb="22">
      <t>シッパイ</t>
    </rPh>
    <phoneticPr fontId="18"/>
  </si>
  <si>
    <t>アメリカでは中間選挙で政権与党が議席を減らしやすい。今回は区割り争いとイラン情勢、経済不安が同時に重なっている。</t>
    <rPh sb="11" eb="13">
      <t>セイケン</t>
    </rPh>
    <phoneticPr fontId="18"/>
  </si>
  <si>
    <t>共和党がトランプ大統領の政策を前面に押し出すのか、地域課題や経済政策に軸足を移すのかが焦点となる。民主党は接戦区で攻勢を強める見通しだ。</t>
    <rPh sb="12" eb="14">
      <t>セイサク</t>
    </rPh>
    <rPh sb="18" eb="19">
      <t>オ</t>
    </rPh>
    <phoneticPr fontId="18"/>
  </si>
  <si>
    <t>米軍がアラビア海でイラン関係船舶の航行を阻止</t>
    <rPh sb="0" eb="2">
      <t>ベイグン</t>
    </rPh>
    <rPh sb="7" eb="8">
      <t>カイ</t>
    </rPh>
    <rPh sb="12" eb="16">
      <t>カンケイセンパク</t>
    </rPh>
    <rPh sb="17" eb="19">
      <t>コウコウ</t>
    </rPh>
    <rPh sb="20" eb="22">
      <t>ソシ</t>
    </rPh>
    <phoneticPr fontId="18"/>
  </si>
  <si>
    <t>米軍はアラビア海でイランのエネルギー輸出に関わる船舶の航行を阻止。同船は米軍の指示に従いイランへ戻っている。</t>
    <rPh sb="24" eb="26">
      <t>センパク</t>
    </rPh>
    <rPh sb="27" eb="29">
      <t>コウコウ</t>
    </rPh>
    <rPh sb="30" eb="32">
      <t>ソシ</t>
    </rPh>
    <phoneticPr fontId="18"/>
  </si>
  <si>
    <t>アメリカはイランの資金源を弱めるため、石油やガスを運ぶ「影の船団」への制裁と海上封鎖を強めている。</t>
    <phoneticPr fontId="18"/>
  </si>
  <si>
    <t>イランが海上で対抗措置を取るか、ホルムズ海峡周辺の船舶運航がさらに滞るかが焦点となる。</t>
    <phoneticPr fontId="18"/>
  </si>
  <si>
    <t>中国</t>
    <rPh sb="0" eb="2">
      <t>チュウゴク</t>
    </rPh>
    <phoneticPr fontId="18"/>
  </si>
  <si>
    <t>中国外相のミャンマー訪問</t>
    <rPh sb="0" eb="4">
      <t>チュウゴクガイショウ</t>
    </rPh>
    <rPh sb="10" eb="12">
      <t>ホウモン</t>
    </rPh>
    <phoneticPr fontId="18"/>
  </si>
  <si>
    <t>中国の王毅外相はミャンマーの首都ネピドーでミンアウンフライン大統領と会談し、国境貿易の再開やエネルギー、鉱業での協力を協議した。オンライン詐欺対策や農業、技術協力も議題となった。</t>
    <phoneticPr fontId="18"/>
  </si>
  <si>
    <t>ミャンマーは2021年のクーデター後、内戦と経済低迷が続く。中国は国境安定と資源確保を重視している。</t>
    <phoneticPr fontId="18"/>
  </si>
  <si>
    <t>国境地帯の戦闘が収まるか、貿易再開が実際に進むかが焦点となる。少数民族武装勢力との停戦維持も重要だ。</t>
    <phoneticPr fontId="18"/>
  </si>
  <si>
    <t>ミャンマー</t>
    <phoneticPr fontId="18"/>
  </si>
  <si>
    <t>フランス</t>
    <phoneticPr fontId="18"/>
  </si>
  <si>
    <t>フランスとギリシャが防衛協定を更新する</t>
    <rPh sb="15" eb="17">
      <t>コウシン</t>
    </rPh>
    <phoneticPr fontId="18"/>
  </si>
  <si>
    <t>フランスのマクロン大統領とギリシャのミツォタキス首相は、2021年に結んだ防衛協定を5年間延長した。相互防衛に加え、エネルギーや科学技術など幅広い協力も確認した。</t>
    <phoneticPr fontId="18"/>
  </si>
  <si>
    <t>欧州では米国の関与への不安や中東緊張を受け、自前の防衛力を高める動きが強まっている。</t>
    <phoneticPr fontId="18"/>
  </si>
  <si>
    <t>両国の協力が欧州連合の防衛体制強化につながるかが焦点となる。東地中海や海上交通の安全確保も注目される。</t>
    <phoneticPr fontId="18"/>
  </si>
  <si>
    <t>ギリシャ</t>
    <phoneticPr fontId="18"/>
  </si>
  <si>
    <t>マリ</t>
    <phoneticPr fontId="18"/>
  </si>
  <si>
    <t>反政府勢力がマリの首都を攻撃</t>
    <rPh sb="0" eb="5">
      <t>ハンセイフセイリョク</t>
    </rPh>
    <rPh sb="9" eb="11">
      <t>シュト</t>
    </rPh>
    <rPh sb="12" eb="14">
      <t>コウゲキ</t>
    </rPh>
    <phoneticPr fontId="18"/>
  </si>
  <si>
    <t>首都バマコ近郊のカティ基地のほか、中部や北部の複数地点が武装集団に同時攻撃されたと発表される。国際空港周辺でも銃撃があり、軍は攻撃側と交戦した。</t>
    <phoneticPr fontId="18"/>
  </si>
  <si>
    <t>マリでは2012年以降、イスラム過激派やトゥアレグ系勢力との紛争が続く。軍政はロシア系部隊の支援で治安回復を進めてきた。</t>
    <phoneticPr fontId="18"/>
  </si>
  <si>
    <t>攻撃が一時的な示威行動にとどまるか、首都や北部支配を揺さぶる長期戦に広がるかが焦点となる。</t>
    <phoneticPr fontId="18"/>
  </si>
  <si>
    <t>アメリカが中国大手石油企業へ制裁を課す</t>
    <rPh sb="5" eb="7">
      <t>チュウゴク</t>
    </rPh>
    <rPh sb="7" eb="9">
      <t>オオテ</t>
    </rPh>
    <rPh sb="9" eb="13">
      <t>セキユキギョウ</t>
    </rPh>
    <rPh sb="14" eb="16">
      <t>セイサイ</t>
    </rPh>
    <rPh sb="17" eb="18">
      <t>カ</t>
    </rPh>
    <phoneticPr fontId="18"/>
  </si>
  <si>
    <t>米財務省は4月24日、中国の恒力石化大連製油所を制裁対象に加えた。イラン産石油を大量に購入し、イランの収入源を支えたとして、関連する船舶や海運会社約40件も対象にした。</t>
    <phoneticPr fontId="18"/>
  </si>
  <si>
    <t>米国はイランの石油収入が軍事活動を支えるとみて、制裁逃れに使われる船舶網への圧力を強めている。</t>
    <phoneticPr fontId="18"/>
  </si>
  <si>
    <t>焦点は、中国企業や銀行への制裁がさらに広がるか、米イラン協議と米中関係にどこまで影響するかと推察される。</t>
    <rPh sb="46" eb="48">
      <t>スイサツ</t>
    </rPh>
    <phoneticPr fontId="18"/>
  </si>
  <si>
    <t>イギリス</t>
    <phoneticPr fontId="18"/>
  </si>
  <si>
    <t>イギリスにて安楽死法案が否決される</t>
    <rPh sb="6" eb="11">
      <t>アンラクシホウアン</t>
    </rPh>
    <rPh sb="12" eb="14">
      <t>ヒケツ</t>
    </rPh>
    <phoneticPr fontId="18"/>
  </si>
  <si>
    <t>イギリスで終末期の成人に自死の医療支援を認める法案が、上院での審議時間が尽きたことで成立せず。反対派が多数の修正案を出し、採決に進まなかった。</t>
    <rPh sb="42" eb="44">
      <t>セイリツ</t>
    </rPh>
    <rPh sb="64" eb="65">
      <t>スス</t>
    </rPh>
    <phoneticPr fontId="18"/>
  </si>
  <si>
    <t>イギリスでは、終末期医療の選択を広げるべきだとの声と、弱い立場の人を守る制度が不十分だとの懸念が対立してきた。</t>
    <phoneticPr fontId="18"/>
  </si>
  <si>
    <t>支持派は次の会期で法案を再提出する構え。焦点は安全対策をどう強め、上院の手続き上の抵抗を乗り越えられるかにある。</t>
    <phoneticPr fontId="18"/>
  </si>
  <si>
    <t>ウクライナ</t>
    <phoneticPr fontId="18"/>
  </si>
  <si>
    <t>ロシアとウクライナが捕虜193名の交換を実施</t>
    <rPh sb="10" eb="12">
      <t>ホリョ</t>
    </rPh>
    <rPh sb="15" eb="16">
      <t>メイ</t>
    </rPh>
    <rPh sb="17" eb="19">
      <t>コウカン</t>
    </rPh>
    <rPh sb="20" eb="22">
      <t>ジッシ</t>
    </rPh>
    <phoneticPr fontId="18"/>
  </si>
  <si>
    <t>ロシアとウクライナは捕虜193人の交換を実施した。アメリカとUAEが仲介し、戦闘が続くなかでも人道分野では対話の余地が残っていることを示した。</t>
    <rPh sb="17" eb="19">
      <t>コウカン</t>
    </rPh>
    <rPh sb="20" eb="22">
      <t>ジッシ</t>
    </rPh>
    <phoneticPr fontId="18"/>
  </si>
  <si>
    <t>ロシアの侵攻開始後、停戦交渉は難航しているが、捕虜交換は両国が続ける数少ない実務協議の一つとなっている。</t>
    <phoneticPr fontId="18"/>
  </si>
  <si>
    <t>今後は同様の交換が続くか、停戦や和平協議につながる信頼づくりになるかが焦点となる。戦闘拡大で中断するリスクもある。</t>
    <phoneticPr fontId="18"/>
  </si>
  <si>
    <t>ロシア</t>
    <phoneticPr fontId="18"/>
  </si>
  <si>
    <t>カタール</t>
    <phoneticPr fontId="18"/>
  </si>
  <si>
    <t>カタールとアメリカ首脳の電話会談</t>
    <rPh sb="9" eb="11">
      <t>シュノウ</t>
    </rPh>
    <rPh sb="12" eb="16">
      <t>デンワカイダン</t>
    </rPh>
    <phoneticPr fontId="18"/>
  </si>
  <si>
    <t>アメリカとイランの停戦合意の進展について協議が行われる。カタールはパキスタン主導の仲介を支えるため、関係国との調整を続ける考えを示した。</t>
    <rPh sb="23" eb="24">
      <t>オコナ</t>
    </rPh>
    <phoneticPr fontId="18"/>
  </si>
  <si>
    <t>カタールは中東でアメリカやイランとの対話ルートを持ち、過去にも紛争の仲介役を担ってきた。</t>
    <phoneticPr fontId="18"/>
  </si>
  <si>
    <t>今後の焦点は、パキスタン主導の仲介がアメリカとイランの直接対話につながるか、停戦をどこまで維持できるかと言える。</t>
    <rPh sb="0" eb="2">
      <t>コンゴ</t>
    </rPh>
    <rPh sb="52" eb="53">
      <t>イ</t>
    </rPh>
    <phoneticPr fontId="18"/>
  </si>
  <si>
    <t>トルコ</t>
    <phoneticPr fontId="18"/>
  </si>
  <si>
    <t>トルコにて15歳未満のSNS利用を禁止する法律が可決される</t>
    <rPh sb="7" eb="10">
      <t>サイミマン</t>
    </rPh>
    <rPh sb="14" eb="16">
      <t>リヨウ</t>
    </rPh>
    <rPh sb="17" eb="19">
      <t>キンシ</t>
    </rPh>
    <rPh sb="21" eb="23">
      <t>ホウリツ</t>
    </rPh>
    <rPh sb="24" eb="26">
      <t>カケツ</t>
    </rPh>
    <phoneticPr fontId="18"/>
  </si>
  <si>
    <t>トルコにて15歳未満の子どもによるSNS利用を禁じる法律が可決された。年齢確認が義務づけられ、ゲーム会社も規制対象に加えられる。</t>
    <phoneticPr fontId="18"/>
  </si>
  <si>
    <t>各国で子どものネット依存や有害情報への接触を防ぐ規制が広がるなか、トルコもSNS等への管理責任を強めた形。</t>
    <rPh sb="40" eb="41">
      <t>ナド</t>
    </rPh>
    <rPh sb="51" eb="52">
      <t>カタチ</t>
    </rPh>
    <phoneticPr fontId="18"/>
  </si>
  <si>
    <t>実効性のある年齢確認を各社が導入できるか否かが焦点。個人情報保護や表現の自由とのバランスも問われる。</t>
    <rPh sb="11" eb="13">
      <t>カクシャ</t>
    </rPh>
    <rPh sb="20" eb="21">
      <t>イナ</t>
    </rPh>
    <rPh sb="23" eb="25">
      <t>ショウテン</t>
    </rPh>
    <phoneticPr fontId="18"/>
  </si>
  <si>
    <t>イスラエルとレバノンの停戦が3週間延長される</t>
    <rPh sb="11" eb="13">
      <t>テイセン</t>
    </rPh>
    <rPh sb="15" eb="17">
      <t>シュウカン</t>
    </rPh>
    <rPh sb="17" eb="19">
      <t>エンチョウ</t>
    </rPh>
    <phoneticPr fontId="18"/>
  </si>
  <si>
    <t>トランプ大統領は、アメリカの仲介でレバノンとイスラエルが停戦を3週間延長したと発表した。前日にはイスラエル軍の攻撃で記者を含む死者が出ており、南部では未だに衝突が続いている。</t>
    <rPh sb="4" eb="7">
      <t>ダイトウリョウ</t>
    </rPh>
    <rPh sb="75" eb="76">
      <t>イマ</t>
    </rPh>
    <phoneticPr fontId="18"/>
  </si>
  <si>
    <t>レバノン南部ではイスラエル軍とヒズボラの戦闘が続いている。アメリカはレバノン政府を支える姿勢を示し、ヒズボラの武装解除を促している。</t>
    <rPh sb="44" eb="46">
      <t>シセイ</t>
    </rPh>
    <rPh sb="47" eb="48">
      <t>シメ</t>
    </rPh>
    <phoneticPr fontId="18"/>
  </si>
  <si>
    <t>イスラエル軍の撤退や国境協議が進むかが焦点。ヒズボラが直接協議に反発しており、停戦維持はなお不安定といえる。</t>
    <rPh sb="19" eb="21">
      <t>ショウテン</t>
    </rPh>
    <phoneticPr fontId="18"/>
  </si>
  <si>
    <t>レバノン</t>
    <phoneticPr fontId="18"/>
  </si>
  <si>
    <t>イスラエル</t>
    <phoneticPr fontId="18"/>
  </si>
  <si>
    <t>イランがコンテナ船2隻を拿捕したと発表</t>
    <rPh sb="8" eb="9">
      <t>セン</t>
    </rPh>
    <rPh sb="10" eb="11">
      <t>セキ</t>
    </rPh>
    <rPh sb="12" eb="14">
      <t>ダホ</t>
    </rPh>
    <rPh sb="17" eb="19">
      <t>ハッピョウ</t>
    </rPh>
    <phoneticPr fontId="18"/>
  </si>
  <si>
    <t>イラン政府は、ホルムズ海峡から湾外へ出ようとしたコンテナ船2隻を拿捕したと発表。別の1隻も銃撃を受けたが航行を続け、各船の乗組員は安全とされる。</t>
    <rPh sb="3" eb="5">
      <t>セイフ</t>
    </rPh>
    <rPh sb="37" eb="39">
      <t>ハッピョウ</t>
    </rPh>
    <phoneticPr fontId="18"/>
  </si>
  <si>
    <t>ホルムズ海峡は世界の石油やガス輸送の要衝で、アメリカとイスラエルとの戦争後、イランは通航制限を強めている。</t>
    <phoneticPr fontId="18"/>
  </si>
  <si>
    <t>拿捕された船と乗組員の解放交渉の進展、革命防衛隊の更なる航行制限、アメリカの海上封鎖との衝突リスクが今後の焦点と言える</t>
    <rPh sb="16" eb="18">
      <t>シンテン</t>
    </rPh>
    <rPh sb="25" eb="26">
      <t>サラ</t>
    </rPh>
    <rPh sb="28" eb="32">
      <t>コウコウセイゲン</t>
    </rPh>
    <rPh sb="50" eb="52">
      <t>コンゴ</t>
    </rPh>
    <rPh sb="53" eb="55">
      <t>ショウテン</t>
    </rPh>
    <rPh sb="56" eb="57">
      <t>イ</t>
    </rPh>
    <phoneticPr fontId="18"/>
  </si>
  <si>
    <t>ヒズボラが停戦協定違反を理由にイスラエルを攻撃</t>
    <phoneticPr fontId="18"/>
  </si>
  <si>
    <t>ヒズボラは、イスラエルが停戦に違反したとしてイスラエル北部へロケット弾や無人機を発射。イスラエル軍は報復として空爆を実施し、南レバノンでの駐留継続とヒズボラ武装解除の方針を示した。</t>
    <rPh sb="50" eb="52">
      <t>ホウフク</t>
    </rPh>
    <rPh sb="55" eb="57">
      <t>クウバク</t>
    </rPh>
    <rPh sb="58" eb="60">
      <t>ジッシ</t>
    </rPh>
    <phoneticPr fontId="18"/>
  </si>
  <si>
    <t>アメリカの仲介による停戦後も、イスラエル軍はレバノン南部の緩衝地帯に駐留している。ヒズボラ側はこれを占領とみなして反発。</t>
    <rPh sb="34" eb="36">
      <t>チュウリュウ</t>
    </rPh>
    <phoneticPr fontId="18"/>
  </si>
  <si>
    <t>アメリカ主導の停戦協議が今後も続くか、イスラエル軍の撤退やヒズボラの武装解除が合意に至るか否かが注目と言える。</t>
    <rPh sb="7" eb="9">
      <t>テイセン</t>
    </rPh>
    <rPh sb="12" eb="14">
      <t>コンゴ</t>
    </rPh>
    <rPh sb="15" eb="16">
      <t>ツヅ</t>
    </rPh>
    <rPh sb="42" eb="43">
      <t>イタ</t>
    </rPh>
    <rPh sb="45" eb="46">
      <t>イナ</t>
    </rPh>
    <rPh sb="48" eb="50">
      <t>チュウモク</t>
    </rPh>
    <rPh sb="51" eb="52">
      <t>イ</t>
    </rPh>
    <phoneticPr fontId="18"/>
  </si>
  <si>
    <t>ナイジェリア</t>
    <phoneticPr fontId="18"/>
  </si>
  <si>
    <t>ナイジェリアにて新たな財務大臣が任命される</t>
    <rPh sb="8" eb="9">
      <t>アラ</t>
    </rPh>
    <rPh sb="11" eb="15">
      <t>ザイムダイジン</t>
    </rPh>
    <rPh sb="16" eb="18">
      <t>ニンメイ</t>
    </rPh>
    <phoneticPr fontId="18"/>
  </si>
  <si>
    <t>ナイジェリアにて小規模な内閣改造が行われ、オイェデレ氏が新たな財務大臣に起用された。同氏はこれまで財務担当国務相を務めていた。</t>
    <rPh sb="17" eb="18">
      <t>オコナ</t>
    </rPh>
    <rPh sb="28" eb="29">
      <t>アラ</t>
    </rPh>
    <rPh sb="33" eb="35">
      <t>ダイジン</t>
    </rPh>
    <rPh sb="36" eb="38">
      <t>キヨウ</t>
    </rPh>
    <rPh sb="42" eb="44">
      <t>ドウシ</t>
    </rPh>
    <phoneticPr fontId="18"/>
  </si>
  <si>
    <t>ナイジェリアは通貨安や物価高、財政改革への不満を抱え、経済運営の立て直しが急務となっている。</t>
    <phoneticPr fontId="18"/>
  </si>
  <si>
    <t>ブラジル</t>
    <phoneticPr fontId="18"/>
  </si>
  <si>
    <t>ブラジルがアメリカの移民局職員の資格を取り消す</t>
    <rPh sb="10" eb="15">
      <t>イミンキョクショクイン</t>
    </rPh>
    <rPh sb="16" eb="18">
      <t>シカク</t>
    </rPh>
    <rPh sb="19" eb="20">
      <t>ト</t>
    </rPh>
    <rPh sb="21" eb="22">
      <t>ケ</t>
    </rPh>
    <phoneticPr fontId="18"/>
  </si>
  <si>
    <t>ブラジル連邦警察は、アメリカの移民当局者の活動資格を取り消した。アメリカがマイアミ駐在のブラジル治安担当官に退去を求めたことへの対抗措置だとしている。</t>
    <phoneticPr fontId="18"/>
  </si>
  <si>
    <t>アメリカの移民当局が、ボルソナロ元大統領に近い元議員を一時拘束したこともあり、両国の法執行協力に緊張が生じている。</t>
    <phoneticPr fontId="18"/>
  </si>
  <si>
    <t>アメリカがブラジル側の説明要求に応じるか、外交官や治安当局者をめぐる相互措置がさらに広がるかが懸念と言える</t>
    <rPh sb="47" eb="49">
      <t>ケネン</t>
    </rPh>
    <rPh sb="50" eb="51">
      <t>イ</t>
    </rPh>
    <phoneticPr fontId="18"/>
  </si>
  <si>
    <t>ロシア議会の議長が北朝鮮を訪問</t>
    <rPh sb="3" eb="5">
      <t>ギカイ</t>
    </rPh>
    <rPh sb="6" eb="8">
      <t>ギチョウ</t>
    </rPh>
    <rPh sb="9" eb="12">
      <t>キタチョウセン</t>
    </rPh>
    <rPh sb="13" eb="15">
      <t>ホウモン</t>
    </rPh>
    <phoneticPr fontId="18"/>
  </si>
  <si>
    <t>ロシア下院のボロジン議長が北朝鮮兵を訪問。北朝鮮はロシア軍を支援するため、推計1万4000人の兵士を送ったとされる。</t>
    <rPh sb="18" eb="20">
      <t>ホウモン</t>
    </rPh>
    <phoneticPr fontId="18"/>
  </si>
  <si>
    <t>ロシアと北朝鮮は2024年に相互防衛を含む条約を結び、外交や軍事の結びつきを急速に強めてきた。</t>
    <phoneticPr fontId="18"/>
  </si>
  <si>
    <t>北朝鮮</t>
    <rPh sb="0" eb="3">
      <t>キタチョウセン</t>
    </rPh>
    <phoneticPr fontId="18"/>
  </si>
  <si>
    <t>フィリピン</t>
    <phoneticPr fontId="18"/>
  </si>
  <si>
    <t>ドゥテルテ元大統領が殺人罪で正式に訴追へ</t>
    <rPh sb="5" eb="9">
      <t>モトダイトウリョウ</t>
    </rPh>
    <rPh sb="10" eb="13">
      <t>サツジンザイ</t>
    </rPh>
    <rPh sb="14" eb="16">
      <t>セイシキ</t>
    </rPh>
    <rPh sb="17" eb="19">
      <t>ソツイ</t>
    </rPh>
    <phoneticPr fontId="18"/>
  </si>
  <si>
    <t>国際刑事裁判所はフィリピンのドゥテルテ元大統領に対し、人道に対する罪としての殺人容疑で正式裁判に進めると判断した。麻薬犯罪対策を名目に多数の市民が殺害された事件が対象となる。</t>
    <rPh sb="24" eb="25">
      <t>タイ</t>
    </rPh>
    <phoneticPr fontId="18"/>
  </si>
  <si>
    <t>ドゥテルテ氏は大統領就任中、強硬な麻薬取締りを進めた。検察側は国家ぐるみの殺害計画があったと主張している。</t>
    <rPh sb="5" eb="6">
      <t>ウジ</t>
    </rPh>
    <rPh sb="7" eb="10">
      <t>ダイトウリョウ</t>
    </rPh>
    <rPh sb="10" eb="12">
      <t>シュウニン</t>
    </rPh>
    <phoneticPr fontId="18"/>
  </si>
  <si>
    <t>焦点は裁判開始時期と、弁護側が健康状態や管轄権を理由に争い続けるかと言える。</t>
    <rPh sb="34" eb="35">
      <t>イ</t>
    </rPh>
    <phoneticPr fontId="18"/>
  </si>
  <si>
    <t>韓国</t>
    <rPh sb="0" eb="2">
      <t>カンコク</t>
    </rPh>
    <phoneticPr fontId="18"/>
  </si>
  <si>
    <t>韓国大統領のベトナム訪問</t>
    <rPh sb="0" eb="2">
      <t>カンコク</t>
    </rPh>
    <rPh sb="2" eb="5">
      <t>ダイトウリョウ</t>
    </rPh>
    <rPh sb="10" eb="12">
      <t>ホウモン</t>
    </rPh>
    <phoneticPr fontId="18"/>
  </si>
  <si>
    <t>韓国の李在明大統領がベトナムを訪問。技術、エネルギー、インフラ分野で73件の事業合意に署名した。液化天然ガス発電やデータセンター、半導体協力も含まれる。</t>
    <rPh sb="18" eb="20">
      <t>ギジュツ</t>
    </rPh>
    <phoneticPr fontId="18"/>
  </si>
  <si>
    <t>韓国はベトナム最大の投資国で、現地工場は輸出の3割超を担う。一方で規制や賃上げで投資環境への不安も残る。</t>
    <rPh sb="30" eb="32">
      <t>イッポウ</t>
    </rPh>
    <rPh sb="49" eb="50">
      <t>ノコ</t>
    </rPh>
    <phoneticPr fontId="18"/>
  </si>
  <si>
    <t>今回の合意が実際の投資に進むかが今後の焦点と言える。原発、半導体、鉄道などの大型案件で韓国企業がどこまで参入できるかが注目される。</t>
    <rPh sb="0" eb="2">
      <t>コンカイ</t>
    </rPh>
    <rPh sb="16" eb="18">
      <t>コンゴ</t>
    </rPh>
    <rPh sb="19" eb="21">
      <t>ショウテン</t>
    </rPh>
    <rPh sb="22" eb="23">
      <t>イ</t>
    </rPh>
    <phoneticPr fontId="18"/>
  </si>
  <si>
    <t>ベトナム</t>
    <phoneticPr fontId="18"/>
  </si>
  <si>
    <t>ドイツ</t>
    <phoneticPr fontId="18"/>
  </si>
  <si>
    <t>ドイツ極右政党「ドイツのための選択肢」が世論調査で支持率過去最高に</t>
    <rPh sb="3" eb="7">
      <t>キョクウセイトウ</t>
    </rPh>
    <rPh sb="15" eb="18">
      <t>センタクシ</t>
    </rPh>
    <rPh sb="20" eb="24">
      <t>ヨロンチョウサ</t>
    </rPh>
    <rPh sb="25" eb="28">
      <t>シジリツ</t>
    </rPh>
    <rPh sb="28" eb="32">
      <t>カコサイコウ</t>
    </rPh>
    <phoneticPr fontId="18"/>
  </si>
  <si>
    <t>極右政党「ドイツのための選択肢」の支持率が過去最高の28％に上がった。メルツ首相率いる保守政党は24％で、同党に4ポイント差をつけられた。</t>
    <rPh sb="0" eb="2">
      <t>キョクウ</t>
    </rPh>
    <phoneticPr fontId="18"/>
  </si>
  <si>
    <t>ドイツでは、移民、物価、治安への不満が強まり、既成政党への不信が右派政党の支持拡大につながっている。</t>
    <phoneticPr fontId="18"/>
  </si>
  <si>
    <t>既成政党がAfDとの協力拒否を続ける場合、政権づくりは三党連立に限られ、政策決定がさらに難しくなる。</t>
    <phoneticPr fontId="18"/>
  </si>
  <si>
    <t>ゼレンスキー大統領のサウジ訪問</t>
    <rPh sb="6" eb="9">
      <t>ダイトウリョウ</t>
    </rPh>
    <rPh sb="13" eb="15">
      <t>ホウモン</t>
    </rPh>
    <phoneticPr fontId="18"/>
  </si>
  <si>
    <t>ウクライナのゼレンスキー大統領がサウジアラビアを訪問し、ムハンマド皇太子と会談。防衛、エネルギー、食料安全保障で協力を広げることが目指される。</t>
    <rPh sb="65" eb="67">
      <t>メザ</t>
    </rPh>
    <phoneticPr fontId="18"/>
  </si>
  <si>
    <t>ウクライナはロシアの攻撃で培った無人機対策や防空技術を、中東諸国との協力に生かそうとしている。</t>
    <phoneticPr fontId="18"/>
  </si>
  <si>
    <t>3月に締結された防衛協力の枠組みが具体的な契約に進むかが焦点。ホルムズ海峡の航行安全への関与も注目される。</t>
    <rPh sb="3" eb="5">
      <t>テイケツ</t>
    </rPh>
    <rPh sb="28" eb="30">
      <t>ショウテン</t>
    </rPh>
    <phoneticPr fontId="18"/>
  </si>
  <si>
    <t>サウジアラビア</t>
    <phoneticPr fontId="18"/>
  </si>
  <si>
    <t>米国務省がオランダへのミサイル売却を承認</t>
    <rPh sb="0" eb="4">
      <t>ベイコクムショウ</t>
    </rPh>
    <rPh sb="15" eb="17">
      <t>バイキャク</t>
    </rPh>
    <rPh sb="18" eb="20">
      <t>ショウニン</t>
    </rPh>
    <phoneticPr fontId="18"/>
  </si>
  <si>
    <t>米国務省はオランダへミサイル530発を最大2億ドルで売却する案を承認した。</t>
    <phoneticPr fontId="18"/>
  </si>
  <si>
    <t>欧州ではロシアへの警戒が続き、各国が攻撃用ミサイルや防空装備の調達を急いでいる。</t>
    <phoneticPr fontId="18"/>
  </si>
  <si>
    <t>アメリカ議会の手続きが円滑に進むかと、最終契約の成立可否が焦点。そのほか、オランダ軍が無人機やヘリ運用でどこまで即応力を高めるかも注目される。</t>
    <rPh sb="11" eb="13">
      <t>エンカツ</t>
    </rPh>
    <rPh sb="14" eb="15">
      <t>スス</t>
    </rPh>
    <rPh sb="26" eb="28">
      <t>カヒ</t>
    </rPh>
    <rPh sb="29" eb="31">
      <t>ショウテン</t>
    </rPh>
    <phoneticPr fontId="18"/>
  </si>
  <si>
    <t>オランダ</t>
    <phoneticPr fontId="18"/>
  </si>
  <si>
    <t>欧州連合</t>
    <rPh sb="0" eb="4">
      <t>オウシュウレンゴウ</t>
    </rPh>
    <phoneticPr fontId="18"/>
  </si>
  <si>
    <t>EUがロシアの2団体へ制裁を課す</t>
    <rPh sb="8" eb="10">
      <t>ダンタイ</t>
    </rPh>
    <rPh sb="11" eb="13">
      <t>セイサイ</t>
    </rPh>
    <rPh sb="14" eb="15">
      <t>カ</t>
    </rPh>
    <phoneticPr fontId="18"/>
  </si>
  <si>
    <t>ロシアの宣伝や偽情報に関わったとして、EUはロシアの2つの団体へ制裁を科した。資産凍結と資金提供禁止が適用される。</t>
    <rPh sb="29" eb="31">
      <t>ダンタイ</t>
    </rPh>
    <phoneticPr fontId="18"/>
  </si>
  <si>
    <t>EUはロシアのプロパガンダで加盟国の世論や選挙を揺さぶっているとみて、関連組織への圧力を強めている。</t>
    <phoneticPr fontId="18"/>
  </si>
  <si>
    <t>ロシア側が別の媒体や団体を通じて発信を続ける懸念が続く。</t>
    <rPh sb="22" eb="24">
      <t>ケネン</t>
    </rPh>
    <rPh sb="25" eb="26">
      <t>ツヅ</t>
    </rPh>
    <phoneticPr fontId="18"/>
  </si>
  <si>
    <t>日本</t>
    <rPh sb="0" eb="2">
      <t>ニホン</t>
    </rPh>
    <phoneticPr fontId="18"/>
  </si>
  <si>
    <t>日本が防衛産業の輸出規制見直しを発表</t>
    <rPh sb="0" eb="2">
      <t>ニホン</t>
    </rPh>
    <rPh sb="3" eb="7">
      <t>ボウエイサンギョウ</t>
    </rPh>
    <rPh sb="8" eb="12">
      <t>ユシュツキセイ</t>
    </rPh>
    <rPh sb="12" eb="14">
      <t>ミナオ</t>
    </rPh>
    <rPh sb="16" eb="18">
      <t>ハッピョウ</t>
    </rPh>
    <phoneticPr fontId="18"/>
  </si>
  <si>
    <t>日本政府は防衛装備の輸出規則を数十年ぶりに大きく見直し、軍艦やミサイルなどの海外販売に道を開いた。中国を念頭に防衛産業を強め、フィリピンなど友好国との協力を広げる狙いがある。</t>
    <phoneticPr fontId="18"/>
  </si>
  <si>
    <t>日本は戦後、武器輸出を厳しく制限してきたが、中国の軍事拡大や米国の供給力不足を受け、規制緩和に踏み切った。</t>
    <phoneticPr fontId="18"/>
  </si>
  <si>
    <t>中国の反発や第三国移転の管理が課題になりうる。</t>
    <rPh sb="15" eb="17">
      <t>カダイ</t>
    </rPh>
    <phoneticPr fontId="18"/>
  </si>
  <si>
    <t>アメリカでは政治暴力への警戒がさらに強まり、選挙や政府行事の運営に影響する可能性がある。日本にとっても同盟国の政治安定は安全保障や市場心理に関わり、米政権の対外政策が停滞しないか注視が必要だ。</t>
    <phoneticPr fontId="18"/>
  </si>
  <si>
    <t>Bloomberg</t>
    <phoneticPr fontId="18"/>
  </si>
  <si>
    <t>https://www.bloomberg.com/news/articles/2026-04-26/alleged-shooter-at-white-house-press-event-in-custody?srnd=homepage-americas</t>
  </si>
  <si>
    <t>アメリカとイラン協議の停滞は、中東の安全保障だけでなく原油輸送やエネルギー価格にも影響する。ホルムズ海峡周辺の緊張が続けば、日本にとっても燃料価格や企業活動への負担が増す要因になり得る。</t>
    <phoneticPr fontId="18"/>
  </si>
  <si>
    <t>https://www.bloomberg.com/news/articles/2026-04-25/trump-cancels-envoys-pakistan-trip-for-iran-talks-fox-reports?srnd=homepage-americas</t>
  </si>
  <si>
    <t>アメリカ議会の勢力図が変われば、ウクライナ支援や対中政策、関税、エネルギー政策の進め方にも影響する。日本にとっては、米国の同盟政策や通商方針の揺れが安全保障や企業活動の不確実性を高める要因になる。</t>
    <phoneticPr fontId="18"/>
  </si>
  <si>
    <t>https://www.bloomberg.com/news/articles/2026-04-25/trump-s-war-redistricting-setbacks-fan-republican-midterm-angst?srnd=phx-politics</t>
  </si>
  <si>
    <t>アラビア海やホルムズ海峡周辺の緊張は、原油やガスの輸送不安を高める。日本は中東へのエネルギー依存が大きく、航行リスクや保険料の上昇が燃料価格、物流、企業収益に波及するおそれがある。</t>
    <phoneticPr fontId="18"/>
  </si>
  <si>
    <t>https://www.bloomberg.com/news/articles/2026-04-25/us-says-it-intercepted-iran-linked-vessel-in-arabian-sea?srnd=phx-politics</t>
  </si>
  <si>
    <t>中国とミャンマーの国境安定化は、中国の資源調達や東南アジアの物流に関わる。鉱物やエネルギーの流れが回復すれば供給不安は和らぐが、軍政への接近が進めば欧米や東南アジア諸国との外交摩擦も強まり得る。日本企業にとっては調達網の見直し材料となる。</t>
    <rPh sb="0" eb="2">
      <t>チュウゴク</t>
    </rPh>
    <rPh sb="13" eb="14">
      <t>カ</t>
    </rPh>
    <phoneticPr fontId="18"/>
  </si>
  <si>
    <t>https://www.bloomberg.com/news/articles/2026-04-25/china-s-wang-yi-discusses-reopening-border-trade-with-myanmar?srnd=phx-politics</t>
  </si>
  <si>
    <t>フランスとギリシャの連携強化は、欧州が米国だけに頼らず安全保障を支える流れを示す。東地中海やホルムズ海峡をめぐる議論にも関わり、エネルギー輸送の安定は日本の燃料価格や物流にも影響し得る。</t>
    <phoneticPr fontId="18"/>
  </si>
  <si>
    <t>https://www.bloomberg.com/news/articles/2026-04-25/france-and-greece-renew-defense-pact-deepening-military-ties?srnd=phx-politics</t>
  </si>
  <si>
    <t>マリの不安定化は、西アフリカのサヘル地域全体に過激派の活動を広げるおそれがある。金や物流の流れにも影響し、欧州への移民圧力や対テロ協力の負担が増す。</t>
    <phoneticPr fontId="18"/>
  </si>
  <si>
    <t>https://www.bloomberg.com/news/articles/2026-04-25/military-sites-in-mali-attacked-by-armed-groups-army-says?srnd=phx-politics</t>
  </si>
  <si>
    <t>制裁強化はイランの資金調達を抑える一方、中国の石油調達や米中関係を揺らす要因になる。中東産原油の流れが不安定になれば、国際原油価格や海上保険料が上がり、日本の燃料費や企業物流にも影響が及ぶおそれがある。</t>
    <phoneticPr fontId="18"/>
  </si>
  <si>
    <t>https://www.bloomberg.com/news/articles/2026-04-24/us-sanctions-china-refinery-iran-shadow-fleet-ahead-of-talks?srnd=phx-politics</t>
    <phoneticPr fontId="18"/>
  </si>
  <si>
    <t>法案の失敗は、イギリスにおけるで死の選択をめぐる社会的議論が続くことを意味する。医療倫理や高齢者福祉、障害者保護のあり方にも影響すると思われる</t>
    <rPh sb="67" eb="68">
      <t>オモ</t>
    </rPh>
    <phoneticPr fontId="18"/>
  </si>
  <si>
    <t>https://www.bloomberg.com/news/articles/2026-04-24/uk-s-assisted-dying-bill-fails-after-parliamentary-time-runs-out?srnd=phx-politics</t>
  </si>
  <si>
    <t>捕虜交換は戦争終結を意味しないが、アメリカやUAEの仲介が機能している点は重要と言える。対話の窓口が保たれれば、欧州の安全保障やエネルギー市場の不安を和らげる材料になる。</t>
    <rPh sb="40" eb="41">
      <t>イ</t>
    </rPh>
    <phoneticPr fontId="18"/>
  </si>
  <si>
    <t>https://www.bloomberg.com/news/articles/2026-04-24/russia-and-ukraine-exchange-193-prisoners-each-in-latest-swap?srnd=phx-politics</t>
  </si>
  <si>
    <t>カタールの関与は、中東危機を軍事衝突から外交協議へ戻すうえで重要となる。停戦が保たれれば原油輸送や金融市場の不安は和らぐが、協議が崩れればホルムズ海峡周辺の緊張が再燃する。</t>
    <phoneticPr fontId="18"/>
  </si>
  <si>
    <t>Reuters</t>
    <phoneticPr fontId="18"/>
  </si>
  <si>
    <t>https://www.reuters.com/world/asia-pacific/qatar-emir-trump-discuss-washington-tehran-ceasefire-2026-04-24/</t>
  </si>
  <si>
    <t>今回の規制は、子どもの安全を守る一方で、SNSやゲーム企業に大きな対応負担を求める。世界的に未成年のネット利用規制が強まれば、日本でも年齢確認等の議論が進む可能性がある。</t>
    <rPh sb="71" eb="72">
      <t>ナド</t>
    </rPh>
    <phoneticPr fontId="18"/>
  </si>
  <si>
    <t>https://www.reuters.com/business/media-telecom/turkey-passes-law-banning-social-media-use-under-15s-2026-04-24/</t>
  </si>
  <si>
    <t>停戦延長は中東紛争の拡大を抑えるよいニュースだが、レバノン南部で攻撃が続けば再燃の可能性は高い。レバノンの安定は難民や海上交通、エネルギー市場にも関わる。</t>
    <rPh sb="7" eb="9">
      <t>フンソウ</t>
    </rPh>
    <rPh sb="10" eb="12">
      <t>カクダイ</t>
    </rPh>
    <rPh sb="13" eb="14">
      <t>オサ</t>
    </rPh>
    <rPh sb="41" eb="44">
      <t>カノウセイ</t>
    </rPh>
    <rPh sb="45" eb="46">
      <t>タカ</t>
    </rPh>
    <phoneticPr fontId="18"/>
  </si>
  <si>
    <t>https://www.reuters.com/world/middle-east/lebanon-seek-ceasefire-extension-us-hosted-talks-with-israel-2026-04-23/</t>
  </si>
  <si>
    <t>ホルムズ海峡の不安定化は、原油や液化天然ガスの供給不安を直接高める。通航量が減れば運賃や保険料、燃料価格が上がりやすい。</t>
    <phoneticPr fontId="18"/>
  </si>
  <si>
    <t>https://www.reuters.com/world/europe/three-vessels-hit-by-gunfire-strait-hormuz-crews-safe-2026-04-22/</t>
  </si>
  <si>
    <t>停戦下での攻撃再開は、イスラエルとレバノンの衝突が再び広がる危険を示す。中東全体の緊張が高まれば、アメリカとイランとの協議や原油市場にも波及しやすい。</t>
    <phoneticPr fontId="18"/>
  </si>
  <si>
    <t>https://www.reuters.com/world/middle-east/israel-will-face-resistance-if-troops-stay-in-lebanon-speaker-berri-says-2026-04-21/</t>
  </si>
  <si>
    <t>アフリカ最大級の経済規模を持つナイジェリアの財政運営は、原油市場や新興国投資に影響する。改革が進めば投資環境の改善につながるが、物価高対策が遅れれば社会不安が強まり得る。</t>
    <phoneticPr fontId="18"/>
  </si>
  <si>
    <t>https://www.reuters.com/world/africa/nigerias-president-names-taiwo-oyedele-new-finance-minister-2026-04-21/</t>
  </si>
  <si>
    <t>アメリカとブラジルの対立は、移民管理や犯罪捜査での情報共有を滞らせるおそれがある。南米最大国との関係悪化は、アメリカの外交や通商にも影響し得る。</t>
    <rPh sb="59" eb="61">
      <t>ガイコウ</t>
    </rPh>
    <phoneticPr fontId="18"/>
  </si>
  <si>
    <t>https://www.reuters.com/world/americas/brazil-revokes-credentials-us-immigration-officer-federal-police-chief-says-2026-04-22/</t>
  </si>
  <si>
    <t>ロシアと北朝鮮の軍事協力は、ウクライナ戦争の長期化だけでなく、東アジアの安全保障にも直結する。北朝鮮が実戦経験やロシアの技術支援を得れば、ミサイルや通常戦力の脅威が高まるおそれがある。日本にとっては防衛態勢や対露朝制裁の重要性が増す。</t>
    <rPh sb="4" eb="7">
      <t>キタチョウセン</t>
    </rPh>
    <phoneticPr fontId="18"/>
  </si>
  <si>
    <t>https://www.reuters.com/business/aerospace-defense/russian-parliament-speaker-north-korea-mark-pyongyangs-troop-deployment-ukraine-2026-04-25/</t>
  </si>
  <si>
    <t>元首脳が国際法廷で裁かれることは、東南アジアの人権問題や治安政策に大きな意味を持つ。フィリピン国内では支持派と被害者側の対立が続き、マルコス政権の司法協力も問われる。</t>
    <phoneticPr fontId="18"/>
  </si>
  <si>
    <t>https://www.reuters.com/world/asia-pacific/icc-confirms-trial-against-former-philippine-president-duterte-2026-04-23/</t>
    <phoneticPr fontId="18"/>
  </si>
  <si>
    <t>韓国とベトナムの連携強化は、東南アジアの供給網再編を進める材料となる。半導体やデータセンター投資が進めば中国依存の分散につながる一方、企業間の誘致競争も強まる。</t>
    <phoneticPr fontId="18"/>
  </si>
  <si>
    <t>https://www.reuters.com/world/asia-pacific/south-korea-vietnam-set-sign-dozens-business-deals-lee-visits-hanoi-2026-04-23/</t>
  </si>
  <si>
    <t>ドイツで右派政党の勢いが強まれば、EUの移民政策、対ウクライナ支援、財政運営に影響する。欧州最大級の経済国の政治不安は市場にも波及し、日本企業にとっても欧州投資や規制対応の見通しを読みにくくする。</t>
    <phoneticPr fontId="18"/>
  </si>
  <si>
    <t>https://www.reuters.com/world/germanys-far-right-afd-rises-record-28-insa-poll-shows-2026-04-25/</t>
  </si>
  <si>
    <t>ウクライナとサウジアラビアの接近は、ロシアとの戦争だけでなく中東の安全保障にも関わる。防空や無人機対策の協力が進めば湾岸諸国の防衛力強化につながる一方、地域の軍拡競争を刺激する面もある。</t>
    <phoneticPr fontId="18"/>
  </si>
  <si>
    <t>https://www.reuters.com/world/middle-east/zelenskiy-arrives-saudi-arabia-seeking-security-cooperation-2026-04-24/</t>
  </si>
  <si>
    <t>オランダのミサイル調達は、欧州が米国製装備を使って対ロシア抑止を強める流れの一部と言える。欧州の防衛需要が増えれば米国の軍需産業は追い風を受ける一方、装備品の供給競争も強まる。</t>
    <rPh sb="41" eb="42">
      <t>イ</t>
    </rPh>
    <phoneticPr fontId="18"/>
  </si>
  <si>
    <t>https://www.reuters.com/business/aerospace-defense/us-approves-potential-200-million-sale-hellfire-missiles-netherlands-2026-04-22/</t>
  </si>
  <si>
    <t>今回の制裁は、軍事だけでなく情報空間も欧州の安全保障問題になっていることを示す。偽情報対策が強まれば、報道やSNSへの監視も広がる。</t>
    <phoneticPr fontId="18"/>
  </si>
  <si>
    <t>https://www.reuters.com/world/eu-imposes-sanctions-two-russian-entities-it-says-are-linked-disinformation-2026-04-21/</t>
  </si>
  <si>
    <t>規則緩和は日本の防衛産業に新たな市場を開き、量産によるコスト低下や危機時の供給力強化につながる。東南アジアへの装備供給が進めば、中国抑止に寄与する反面、地域の軍事的緊張を高める懸念もある。</t>
    <rPh sb="2" eb="4">
      <t>カンワ</t>
    </rPh>
    <phoneticPr fontId="18"/>
  </si>
  <si>
    <t>https://www.reuters.com/world/china/japan-opens-door-global-arms-market-with-biggest-export-rule-change-decades-2026-04-21/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</si>
</sst>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0"/>
      <color theme="1"/>
      <name val="Arial Unicode MS"/>
      <family val="2"/>
    </font>
    <font>
      <u/>
      <sz val="11"/>
      <color theme="10"/>
      <name val="游ゴシック"/>
      <family val="2"/>
      <charset val="128"/>
      <scheme val="minor"/>
    </font>
    <font>
      <sz val="9"/>
      <color theme="1"/>
      <name val="游ゴシック"/>
      <family val="3"/>
      <charset val="128"/>
      <scheme val="minor"/>
    </font>
    <font>
      <sz val="11"/>
      <color theme="1"/>
      <name val="游ゴシック"/>
      <family val="3"/>
      <charset val="128"/>
      <scheme val="minor"/>
    </font>
    <font>
      <sz val="10"/>
      <color theme="1"/>
      <name val="游ゴシック"/>
      <family val="2"/>
      <charset val="128"/>
      <scheme val="minor"/>
    </font>
    <font>
      <u/>
      <sz val="10"/>
      <color theme="10"/>
      <name val="游ゴシック"/>
      <family val="2"/>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13">
    <xf numFmtId="0" fontId="0" fillId="0" borderId="0" xfId="0">
      <alignment vertical="center"/>
    </xf>
    <xf numFmtId="14" fontId="0" fillId="0" borderId="0" xfId="0" applyNumberFormat="1">
      <alignment vertical="center"/>
    </xf>
    <xf numFmtId="0" fontId="0" fillId="33" borderId="0" xfId="0" applyFill="1">
      <alignment vertical="center"/>
    </xf>
    <xf numFmtId="0" fontId="19" fillId="33" borderId="0" xfId="0" applyFont="1" applyFill="1">
      <alignment vertical="center"/>
    </xf>
    <xf numFmtId="0" fontId="21" fillId="0" borderId="0" xfId="0" applyFont="1" applyProtection="1">
      <alignment vertical="center"/>
      <protection locked="0"/>
    </xf>
    <xf numFmtId="0" fontId="20" fillId="0" borderId="0" xfId="42">
      <alignment vertical="center"/>
    </xf>
    <xf numFmtId="0" fontId="22" fillId="0" borderId="0" xfId="0" applyFont="1">
      <alignment vertical="center"/>
    </xf>
    <xf numFmtId="56" fontId="0" fillId="0" borderId="0" xfId="0" applyNumberFormat="1">
      <alignment vertical="center"/>
    </xf>
    <xf numFmtId="0" fontId="23" fillId="0" borderId="0" xfId="0" applyFont="1">
      <alignment vertical="center"/>
    </xf>
    <xf numFmtId="0" fontId="23" fillId="34" borderId="0" xfId="0" applyFont="1" applyFill="1">
      <alignment vertical="center"/>
    </xf>
    <xf numFmtId="14" fontId="23" fillId="0" borderId="0" xfId="0" applyNumberFormat="1" applyFont="1">
      <alignment vertical="center"/>
    </xf>
    <xf numFmtId="0" fontId="24" fillId="0" borderId="0" xfId="42" applyFont="1">
      <alignment vertical="center"/>
    </xf>
    <xf numFmtId="56" fontId="23" fillId="0" borderId="0" xfId="0" applyNumberFormat="1" applyFont="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world_map_project\world-map-news-app\public\data\ISO&#36766;&#26360;.xlsx" TargetMode="External"/><Relationship Id="rId1" Type="http://schemas.openxmlformats.org/officeDocument/2006/relationships/externalLinkPath" Target="ISO&#36766;&#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SO辞書"/>
    </sheetNames>
    <sheetDataSet>
      <sheetData sheetId="0">
        <row r="1">
          <cell r="A1" t="str">
            <v>A列</v>
          </cell>
          <cell r="B1" t="str">
            <v>B列</v>
          </cell>
          <cell r="C1" t="str">
            <v>C列</v>
          </cell>
        </row>
        <row r="2">
          <cell r="A2" t="str">
            <v>国名_日本語</v>
          </cell>
          <cell r="B2" t="str">
            <v>ISO3</v>
          </cell>
          <cell r="C2" t="str">
            <v>国名_英語</v>
          </cell>
        </row>
        <row r="3">
          <cell r="A3" t="str">
            <v>アフガニスタン</v>
          </cell>
          <cell r="B3" t="str">
            <v>AFG</v>
          </cell>
          <cell r="C3" t="str">
            <v>Afghanistan</v>
          </cell>
        </row>
        <row r="4">
          <cell r="A4" t="str">
            <v>オーランド諸島</v>
          </cell>
          <cell r="B4" t="str">
            <v>ALA</v>
          </cell>
          <cell r="C4" t="str">
            <v>Åland Islands</v>
          </cell>
        </row>
        <row r="5">
          <cell r="A5" t="str">
            <v>アルバニア</v>
          </cell>
          <cell r="B5" t="str">
            <v>ALB</v>
          </cell>
          <cell r="C5" t="str">
            <v>Albania</v>
          </cell>
        </row>
        <row r="6">
          <cell r="A6" t="str">
            <v>アルジェリア</v>
          </cell>
          <cell r="B6" t="str">
            <v>DZA</v>
          </cell>
          <cell r="C6" t="str">
            <v>Algeria</v>
          </cell>
        </row>
        <row r="7">
          <cell r="A7" t="str">
            <v>アメリカ領サモア</v>
          </cell>
          <cell r="B7" t="str">
            <v>ASM</v>
          </cell>
          <cell r="C7" t="str">
            <v>American Samoa</v>
          </cell>
        </row>
        <row r="8">
          <cell r="A8" t="str">
            <v>アンドラ</v>
          </cell>
          <cell r="B8" t="str">
            <v>AND</v>
          </cell>
          <cell r="C8" t="str">
            <v>Andorra</v>
          </cell>
        </row>
        <row r="9">
          <cell r="A9" t="str">
            <v>アンゴラ</v>
          </cell>
          <cell r="B9" t="str">
            <v>AGO</v>
          </cell>
          <cell r="C9" t="str">
            <v>Angola</v>
          </cell>
        </row>
        <row r="10">
          <cell r="A10" t="str">
            <v>アンギラ</v>
          </cell>
          <cell r="B10" t="str">
            <v>AIA</v>
          </cell>
          <cell r="C10" t="str">
            <v>Anguilla</v>
          </cell>
        </row>
        <row r="11">
          <cell r="A11" t="str">
            <v>南極</v>
          </cell>
          <cell r="B11" t="str">
            <v>ATA</v>
          </cell>
          <cell r="C11" t="str">
            <v>Antarctica</v>
          </cell>
        </row>
        <row r="12">
          <cell r="A12" t="str">
            <v>アンティグア・バーブーダ</v>
          </cell>
          <cell r="B12" t="str">
            <v>ATG</v>
          </cell>
          <cell r="C12" t="str">
            <v>Antigua and Barbuda</v>
          </cell>
        </row>
        <row r="13">
          <cell r="A13" t="str">
            <v>アルゼンチン</v>
          </cell>
          <cell r="B13" t="str">
            <v>ARG</v>
          </cell>
          <cell r="C13" t="str">
            <v>Argentina</v>
          </cell>
        </row>
        <row r="14">
          <cell r="A14" t="str">
            <v>アルメニア</v>
          </cell>
          <cell r="B14" t="str">
            <v>ARM</v>
          </cell>
          <cell r="C14" t="str">
            <v>Armenia</v>
          </cell>
        </row>
        <row r="15">
          <cell r="A15" t="str">
            <v>アルバ</v>
          </cell>
          <cell r="B15" t="str">
            <v>ABW</v>
          </cell>
          <cell r="C15" t="str">
            <v>Aruba</v>
          </cell>
        </row>
        <row r="16">
          <cell r="A16" t="str">
            <v>オーストラリア</v>
          </cell>
          <cell r="B16" t="str">
            <v>AUS</v>
          </cell>
          <cell r="C16" t="str">
            <v>Australia</v>
          </cell>
        </row>
        <row r="17">
          <cell r="A17" t="str">
            <v>オーストリア</v>
          </cell>
          <cell r="B17" t="str">
            <v>AUT</v>
          </cell>
          <cell r="C17" t="str">
            <v>Austria</v>
          </cell>
        </row>
        <row r="18">
          <cell r="A18" t="str">
            <v>アゼルバイジャン</v>
          </cell>
          <cell r="B18" t="str">
            <v>AZE</v>
          </cell>
          <cell r="C18" t="str">
            <v>Azerbaijan</v>
          </cell>
        </row>
        <row r="19">
          <cell r="A19" t="str">
            <v>バハマ</v>
          </cell>
          <cell r="B19" t="str">
            <v>BHS</v>
          </cell>
          <cell r="C19" t="str">
            <v>Bahamas</v>
          </cell>
        </row>
        <row r="20">
          <cell r="A20" t="str">
            <v>バーレーン</v>
          </cell>
          <cell r="B20" t="str">
            <v>BHR</v>
          </cell>
          <cell r="C20" t="str">
            <v>Bahrain</v>
          </cell>
        </row>
        <row r="21">
          <cell r="A21" t="str">
            <v>バングラデシュ</v>
          </cell>
          <cell r="B21" t="str">
            <v>BGD</v>
          </cell>
          <cell r="C21" t="str">
            <v>Bangladesh</v>
          </cell>
        </row>
        <row r="22">
          <cell r="A22" t="str">
            <v>バルバドス</v>
          </cell>
          <cell r="B22" t="str">
            <v>BRB</v>
          </cell>
          <cell r="C22" t="str">
            <v>Barbados</v>
          </cell>
        </row>
        <row r="23">
          <cell r="A23" t="str">
            <v>ベラルーシ</v>
          </cell>
          <cell r="B23" t="str">
            <v>BLR</v>
          </cell>
          <cell r="C23" t="str">
            <v>Belarus</v>
          </cell>
        </row>
        <row r="24">
          <cell r="A24" t="str">
            <v>ベルギー</v>
          </cell>
          <cell r="B24" t="str">
            <v>BEL</v>
          </cell>
          <cell r="C24" t="str">
            <v>Belgium</v>
          </cell>
        </row>
        <row r="25">
          <cell r="A25" t="str">
            <v>ベリーズ</v>
          </cell>
          <cell r="B25" t="str">
            <v>BLZ</v>
          </cell>
          <cell r="C25" t="str">
            <v>Belize</v>
          </cell>
        </row>
        <row r="26">
          <cell r="A26" t="str">
            <v>ベナン</v>
          </cell>
          <cell r="B26" t="str">
            <v>BEN</v>
          </cell>
          <cell r="C26" t="str">
            <v>Benin</v>
          </cell>
        </row>
        <row r="27">
          <cell r="A27" t="str">
            <v>バミューダ</v>
          </cell>
          <cell r="B27" t="str">
            <v>BMU</v>
          </cell>
          <cell r="C27" t="str">
            <v>Bermuda</v>
          </cell>
        </row>
        <row r="28">
          <cell r="A28" t="str">
            <v>ブータン</v>
          </cell>
          <cell r="B28" t="str">
            <v>BTN</v>
          </cell>
          <cell r="C28" t="str">
            <v>Bhutan</v>
          </cell>
        </row>
        <row r="29">
          <cell r="A29" t="str">
            <v>ボリビア</v>
          </cell>
          <cell r="B29" t="str">
            <v>BOL</v>
          </cell>
          <cell r="C29" t="str">
            <v>Bolivia</v>
          </cell>
        </row>
        <row r="30">
          <cell r="A30" t="str">
            <v>ボスニア・ヘルツェゴビナ</v>
          </cell>
          <cell r="B30" t="str">
            <v>BIH</v>
          </cell>
          <cell r="C30" t="str">
            <v>Bosnia and Herzegovina</v>
          </cell>
        </row>
        <row r="31">
          <cell r="A31" t="str">
            <v>ボツワナ</v>
          </cell>
          <cell r="B31" t="str">
            <v>BWA</v>
          </cell>
          <cell r="C31" t="str">
            <v>Botswana</v>
          </cell>
        </row>
        <row r="32">
          <cell r="A32" t="str">
            <v>ブーベ島</v>
          </cell>
          <cell r="B32" t="str">
            <v>BVT</v>
          </cell>
          <cell r="C32" t="str">
            <v>Bouvet Island</v>
          </cell>
        </row>
        <row r="33">
          <cell r="A33" t="str">
            <v>ブラジル</v>
          </cell>
          <cell r="B33" t="str">
            <v>BRA</v>
          </cell>
          <cell r="C33" t="str">
            <v>Brazil</v>
          </cell>
        </row>
        <row r="34">
          <cell r="A34" t="str">
            <v>イギリス領インド洋地域</v>
          </cell>
          <cell r="B34" t="str">
            <v>IOT</v>
          </cell>
          <cell r="C34" t="str">
            <v>British Indian Ocean Territory</v>
          </cell>
        </row>
        <row r="35">
          <cell r="A35" t="str">
            <v>ブルネイ</v>
          </cell>
          <cell r="B35" t="str">
            <v>BRN</v>
          </cell>
          <cell r="C35" t="str">
            <v>Brunei Darussalam</v>
          </cell>
        </row>
        <row r="36">
          <cell r="A36" t="str">
            <v>ブルガリア</v>
          </cell>
          <cell r="B36" t="str">
            <v>BGR</v>
          </cell>
          <cell r="C36" t="str">
            <v>Bulgaria</v>
          </cell>
        </row>
        <row r="37">
          <cell r="A37" t="str">
            <v>ブルキナファソ</v>
          </cell>
          <cell r="B37" t="str">
            <v>BFA</v>
          </cell>
          <cell r="C37" t="str">
            <v>Burkina Faso</v>
          </cell>
        </row>
        <row r="38">
          <cell r="A38" t="str">
            <v>ブルンジ</v>
          </cell>
          <cell r="B38" t="str">
            <v>BDI</v>
          </cell>
          <cell r="C38" t="str">
            <v>Burundi</v>
          </cell>
        </row>
        <row r="39">
          <cell r="A39" t="str">
            <v>カーボベルデ</v>
          </cell>
          <cell r="B39" t="str">
            <v>CPV</v>
          </cell>
          <cell r="C39" t="str">
            <v>Cabo Verde</v>
          </cell>
        </row>
        <row r="40">
          <cell r="A40" t="str">
            <v>カンボジア</v>
          </cell>
          <cell r="B40" t="str">
            <v>KHM</v>
          </cell>
          <cell r="C40" t="str">
            <v>Cambodia</v>
          </cell>
        </row>
        <row r="41">
          <cell r="A41" t="str">
            <v>カメルーン</v>
          </cell>
          <cell r="B41" t="str">
            <v>CMR</v>
          </cell>
          <cell r="C41" t="str">
            <v>Cameroon</v>
          </cell>
        </row>
        <row r="42">
          <cell r="A42" t="str">
            <v>カナダ</v>
          </cell>
          <cell r="B42" t="str">
            <v>CAN</v>
          </cell>
          <cell r="C42" t="str">
            <v>Canada</v>
          </cell>
        </row>
        <row r="43">
          <cell r="A43" t="str">
            <v>ケイマン諸島</v>
          </cell>
          <cell r="B43" t="str">
            <v>CYM</v>
          </cell>
          <cell r="C43" t="str">
            <v>Cayman Islands</v>
          </cell>
        </row>
        <row r="44">
          <cell r="A44" t="str">
            <v>中央アフリカ共和国</v>
          </cell>
          <cell r="B44" t="str">
            <v>CAF</v>
          </cell>
          <cell r="C44" t="str">
            <v>Central African Republic</v>
          </cell>
        </row>
        <row r="45">
          <cell r="A45" t="str">
            <v>チャド</v>
          </cell>
          <cell r="B45" t="str">
            <v>TCD</v>
          </cell>
          <cell r="C45" t="str">
            <v>Chad</v>
          </cell>
        </row>
        <row r="46">
          <cell r="A46" t="str">
            <v>チリ</v>
          </cell>
          <cell r="B46" t="str">
            <v>CHL</v>
          </cell>
          <cell r="C46" t="str">
            <v>Chile</v>
          </cell>
        </row>
        <row r="47">
          <cell r="A47" t="str">
            <v>中国</v>
          </cell>
          <cell r="B47" t="str">
            <v>CHN</v>
          </cell>
          <cell r="C47" t="str">
            <v>China</v>
          </cell>
        </row>
        <row r="48">
          <cell r="A48" t="str">
            <v>クリスマス島</v>
          </cell>
          <cell r="B48" t="str">
            <v>CXR</v>
          </cell>
          <cell r="C48" t="str">
            <v>Christmas Island</v>
          </cell>
        </row>
        <row r="49">
          <cell r="A49" t="str">
            <v>ココス諸島</v>
          </cell>
          <cell r="B49" t="str">
            <v>CCK</v>
          </cell>
          <cell r="C49" t="str">
            <v>Cocos (Keeling) Islands</v>
          </cell>
        </row>
        <row r="50">
          <cell r="A50" t="str">
            <v>コロンビア</v>
          </cell>
          <cell r="B50" t="str">
            <v>COL</v>
          </cell>
          <cell r="C50" t="str">
            <v>Colombia</v>
          </cell>
        </row>
        <row r="51">
          <cell r="A51" t="str">
            <v>コモロ</v>
          </cell>
          <cell r="B51" t="str">
            <v>COM</v>
          </cell>
          <cell r="C51" t="str">
            <v>Comoros</v>
          </cell>
        </row>
        <row r="52">
          <cell r="A52" t="str">
            <v>コンゴ共和国</v>
          </cell>
          <cell r="B52" t="str">
            <v>COG</v>
          </cell>
          <cell r="C52" t="str">
            <v>Congo</v>
          </cell>
        </row>
        <row r="53">
          <cell r="A53" t="str">
            <v>コンゴ民主共和国</v>
          </cell>
          <cell r="B53" t="str">
            <v>COD</v>
          </cell>
          <cell r="C53" t="str">
            <v>Democratic Republic of the Congo</v>
          </cell>
        </row>
        <row r="54">
          <cell r="A54" t="str">
            <v>クック諸島</v>
          </cell>
          <cell r="B54" t="str">
            <v>COK</v>
          </cell>
          <cell r="C54" t="str">
            <v>Cook Islands</v>
          </cell>
        </row>
        <row r="55">
          <cell r="A55" t="str">
            <v>コスタリカ</v>
          </cell>
          <cell r="B55" t="str">
            <v>CRI</v>
          </cell>
          <cell r="C55" t="str">
            <v>Costa Rica</v>
          </cell>
        </row>
        <row r="56">
          <cell r="A56" t="str">
            <v>コートジボワール</v>
          </cell>
          <cell r="B56" t="str">
            <v>CIV</v>
          </cell>
          <cell r="C56" t="str">
            <v>Côte d'Ivoire</v>
          </cell>
        </row>
        <row r="57">
          <cell r="A57" t="str">
            <v>クロアチア</v>
          </cell>
          <cell r="B57" t="str">
            <v>HRV</v>
          </cell>
          <cell r="C57" t="str">
            <v>Croatia</v>
          </cell>
        </row>
        <row r="58">
          <cell r="A58" t="str">
            <v>キューバ</v>
          </cell>
          <cell r="B58" t="str">
            <v>CUB</v>
          </cell>
          <cell r="C58" t="str">
            <v>Cuba</v>
          </cell>
        </row>
        <row r="59">
          <cell r="A59" t="str">
            <v>キュラソー</v>
          </cell>
          <cell r="B59" t="str">
            <v>CUW</v>
          </cell>
          <cell r="C59" t="str">
            <v>Curaçao</v>
          </cell>
        </row>
        <row r="60">
          <cell r="A60" t="str">
            <v>キプロス</v>
          </cell>
          <cell r="B60" t="str">
            <v>CYP</v>
          </cell>
          <cell r="C60" t="str">
            <v>Cyprus</v>
          </cell>
        </row>
        <row r="61">
          <cell r="A61" t="str">
            <v>チェコ</v>
          </cell>
          <cell r="B61" t="str">
            <v>CZE</v>
          </cell>
          <cell r="C61" t="str">
            <v>Czechia</v>
          </cell>
        </row>
        <row r="62">
          <cell r="A62" t="str">
            <v>デンマーク</v>
          </cell>
          <cell r="B62" t="str">
            <v>DNK</v>
          </cell>
          <cell r="C62" t="str">
            <v>Denmark</v>
          </cell>
        </row>
        <row r="63">
          <cell r="A63" t="str">
            <v>ジブチ</v>
          </cell>
          <cell r="B63" t="str">
            <v>DJI</v>
          </cell>
          <cell r="C63" t="str">
            <v>Djibouti</v>
          </cell>
        </row>
        <row r="64">
          <cell r="A64" t="str">
            <v>ドミニカ</v>
          </cell>
          <cell r="B64" t="str">
            <v>DMA</v>
          </cell>
          <cell r="C64" t="str">
            <v>Dominica</v>
          </cell>
        </row>
        <row r="65">
          <cell r="A65" t="str">
            <v>ドミニカ共和国</v>
          </cell>
          <cell r="B65" t="str">
            <v>DOM</v>
          </cell>
          <cell r="C65" t="str">
            <v>Dominican Republic</v>
          </cell>
        </row>
        <row r="66">
          <cell r="A66" t="str">
            <v>エクアドル</v>
          </cell>
          <cell r="B66" t="str">
            <v>ECU</v>
          </cell>
          <cell r="C66" t="str">
            <v>Ecuador</v>
          </cell>
        </row>
        <row r="67">
          <cell r="A67" t="str">
            <v>エジプト</v>
          </cell>
          <cell r="B67" t="str">
            <v>EGY</v>
          </cell>
          <cell r="C67" t="str">
            <v>Egypt</v>
          </cell>
        </row>
        <row r="68">
          <cell r="A68" t="str">
            <v>エルサルバドル</v>
          </cell>
          <cell r="B68" t="str">
            <v>SLV</v>
          </cell>
          <cell r="C68" t="str">
            <v>El Salvador</v>
          </cell>
        </row>
        <row r="69">
          <cell r="A69" t="str">
            <v>赤道ギニア</v>
          </cell>
          <cell r="B69" t="str">
            <v>GNQ</v>
          </cell>
          <cell r="C69" t="str">
            <v>Equatorial Guinea</v>
          </cell>
        </row>
        <row r="70">
          <cell r="A70" t="str">
            <v>エリトリア</v>
          </cell>
          <cell r="B70" t="str">
            <v>ERI</v>
          </cell>
          <cell r="C70" t="str">
            <v>Eritrea</v>
          </cell>
        </row>
        <row r="71">
          <cell r="A71" t="str">
            <v>エストニア</v>
          </cell>
          <cell r="B71" t="str">
            <v>EST</v>
          </cell>
          <cell r="C71" t="str">
            <v>Estonia</v>
          </cell>
        </row>
        <row r="72">
          <cell r="A72" t="str">
            <v>エスワティニ</v>
          </cell>
          <cell r="B72" t="str">
            <v>SWZ</v>
          </cell>
          <cell r="C72" t="str">
            <v>Eswatini</v>
          </cell>
        </row>
        <row r="73">
          <cell r="A73" t="str">
            <v>エチオピア</v>
          </cell>
          <cell r="B73" t="str">
            <v>ETH</v>
          </cell>
          <cell r="C73" t="str">
            <v>Ethiopia</v>
          </cell>
        </row>
        <row r="74">
          <cell r="A74" t="str">
            <v>フォークランド諸島</v>
          </cell>
          <cell r="B74" t="str">
            <v>FLK</v>
          </cell>
          <cell r="C74" t="str">
            <v>Falkland Islands (Malvinas)</v>
          </cell>
        </row>
        <row r="75">
          <cell r="A75" t="str">
            <v>フェロー諸島</v>
          </cell>
          <cell r="B75" t="str">
            <v>FRO</v>
          </cell>
          <cell r="C75" t="str">
            <v>Faroe Islands</v>
          </cell>
        </row>
        <row r="76">
          <cell r="A76" t="str">
            <v>フィジー</v>
          </cell>
          <cell r="B76" t="str">
            <v>FJI</v>
          </cell>
          <cell r="C76" t="str">
            <v>Fiji</v>
          </cell>
        </row>
        <row r="77">
          <cell r="A77" t="str">
            <v>フィンランド</v>
          </cell>
          <cell r="B77" t="str">
            <v>FIN</v>
          </cell>
          <cell r="C77" t="str">
            <v>Finland</v>
          </cell>
        </row>
        <row r="78">
          <cell r="A78" t="str">
            <v>フランス</v>
          </cell>
          <cell r="B78" t="str">
            <v>FRA</v>
          </cell>
          <cell r="C78" t="str">
            <v>France</v>
          </cell>
        </row>
        <row r="79">
          <cell r="A79" t="str">
            <v>フランス領ギアナ</v>
          </cell>
          <cell r="B79" t="str">
            <v>GUF</v>
          </cell>
          <cell r="C79" t="str">
            <v>French Guiana</v>
          </cell>
        </row>
        <row r="80">
          <cell r="A80" t="str">
            <v>フランス領ポリネシア</v>
          </cell>
          <cell r="B80" t="str">
            <v>PYF</v>
          </cell>
          <cell r="C80" t="str">
            <v>French Polynesia</v>
          </cell>
        </row>
        <row r="81">
          <cell r="A81" t="str">
            <v>ガボン</v>
          </cell>
          <cell r="B81" t="str">
            <v>GAB</v>
          </cell>
          <cell r="C81" t="str">
            <v>Gabon</v>
          </cell>
        </row>
        <row r="82">
          <cell r="A82" t="str">
            <v>ガンビア</v>
          </cell>
          <cell r="B82" t="str">
            <v>GMB</v>
          </cell>
          <cell r="C82" t="str">
            <v>Gambia</v>
          </cell>
        </row>
        <row r="83">
          <cell r="A83" t="str">
            <v>ジョージア</v>
          </cell>
          <cell r="B83" t="str">
            <v>GEO</v>
          </cell>
          <cell r="C83" t="str">
            <v>Georgia</v>
          </cell>
        </row>
        <row r="84">
          <cell r="A84" t="str">
            <v>ドイツ</v>
          </cell>
          <cell r="B84" t="str">
            <v>DEU</v>
          </cell>
          <cell r="C84" t="str">
            <v>Germany</v>
          </cell>
        </row>
        <row r="85">
          <cell r="A85" t="str">
            <v>ガーナ</v>
          </cell>
          <cell r="B85" t="str">
            <v>GHA</v>
          </cell>
          <cell r="C85" t="str">
            <v>Ghana</v>
          </cell>
        </row>
        <row r="86">
          <cell r="A86" t="str">
            <v>ジブラルタル</v>
          </cell>
          <cell r="B86" t="str">
            <v>GIB</v>
          </cell>
          <cell r="C86" t="str">
            <v>Gibraltar</v>
          </cell>
        </row>
        <row r="87">
          <cell r="A87" t="str">
            <v>ギリシャ</v>
          </cell>
          <cell r="B87" t="str">
            <v>GRC</v>
          </cell>
          <cell r="C87" t="str">
            <v>Greece</v>
          </cell>
        </row>
        <row r="88">
          <cell r="A88" t="str">
            <v>グリーンランド</v>
          </cell>
          <cell r="B88" t="str">
            <v>GRL</v>
          </cell>
          <cell r="C88" t="str">
            <v>Greenland</v>
          </cell>
        </row>
        <row r="89">
          <cell r="A89" t="str">
            <v>グレナダ</v>
          </cell>
          <cell r="B89" t="str">
            <v>GRD</v>
          </cell>
          <cell r="C89" t="str">
            <v>Grenada</v>
          </cell>
        </row>
        <row r="90">
          <cell r="A90" t="str">
            <v>グアドループ</v>
          </cell>
          <cell r="B90" t="str">
            <v>GLP</v>
          </cell>
          <cell r="C90" t="str">
            <v>Guadeloupe</v>
          </cell>
        </row>
        <row r="91">
          <cell r="A91" t="str">
            <v>グアム</v>
          </cell>
          <cell r="B91" t="str">
            <v>GUM</v>
          </cell>
          <cell r="C91" t="str">
            <v>Guam</v>
          </cell>
        </row>
        <row r="92">
          <cell r="A92" t="str">
            <v>グアテマラ</v>
          </cell>
          <cell r="B92" t="str">
            <v>GTM</v>
          </cell>
          <cell r="C92" t="str">
            <v>Guatemala</v>
          </cell>
        </row>
        <row r="93">
          <cell r="A93" t="str">
            <v>ガーンジー</v>
          </cell>
          <cell r="B93" t="str">
            <v>GGY</v>
          </cell>
          <cell r="C93" t="str">
            <v>Guernsey</v>
          </cell>
        </row>
        <row r="94">
          <cell r="A94" t="str">
            <v>ギニア</v>
          </cell>
          <cell r="B94" t="str">
            <v>GIN</v>
          </cell>
          <cell r="C94" t="str">
            <v>Guinea</v>
          </cell>
        </row>
        <row r="95">
          <cell r="A95" t="str">
            <v>ギニアビサウ</v>
          </cell>
          <cell r="B95" t="str">
            <v>GNB</v>
          </cell>
          <cell r="C95" t="str">
            <v>Guinea-Bissau</v>
          </cell>
        </row>
        <row r="96">
          <cell r="A96" t="str">
            <v>ガイアナ</v>
          </cell>
          <cell r="B96" t="str">
            <v>GUY</v>
          </cell>
          <cell r="C96" t="str">
            <v>Guyana</v>
          </cell>
        </row>
        <row r="97">
          <cell r="A97" t="str">
            <v>ハイチ</v>
          </cell>
          <cell r="B97" t="str">
            <v>HTI</v>
          </cell>
          <cell r="C97" t="str">
            <v>Haiti</v>
          </cell>
        </row>
        <row r="98">
          <cell r="A98" t="str">
            <v>ハード島とマクドナルド諸島</v>
          </cell>
          <cell r="B98" t="str">
            <v>HMD</v>
          </cell>
          <cell r="C98" t="str">
            <v>Heard Island and McDonald Islands</v>
          </cell>
        </row>
        <row r="99">
          <cell r="A99" t="str">
            <v>バチカン</v>
          </cell>
          <cell r="B99" t="str">
            <v>HOLY</v>
          </cell>
          <cell r="C99" t="str">
            <v>Holy See</v>
          </cell>
        </row>
        <row r="100">
          <cell r="A100" t="str">
            <v>ホンジュラス</v>
          </cell>
          <cell r="B100" t="str">
            <v>HND</v>
          </cell>
          <cell r="C100" t="str">
            <v>Honduras</v>
          </cell>
        </row>
        <row r="101">
          <cell r="A101" t="str">
            <v>香港</v>
          </cell>
          <cell r="B101" t="str">
            <v>HKG</v>
          </cell>
          <cell r="C101" t="str">
            <v>Hong Kong</v>
          </cell>
        </row>
        <row r="102">
          <cell r="A102" t="str">
            <v>ハンガリー</v>
          </cell>
          <cell r="B102" t="str">
            <v>HUN</v>
          </cell>
          <cell r="C102" t="str">
            <v>Hungary</v>
          </cell>
        </row>
        <row r="103">
          <cell r="A103" t="str">
            <v>アイスランド</v>
          </cell>
          <cell r="B103" t="str">
            <v>ISL</v>
          </cell>
          <cell r="C103" t="str">
            <v>Iceland</v>
          </cell>
        </row>
        <row r="104">
          <cell r="A104" t="str">
            <v>インド</v>
          </cell>
          <cell r="B104" t="str">
            <v>IND</v>
          </cell>
          <cell r="C104" t="str">
            <v>India</v>
          </cell>
        </row>
        <row r="105">
          <cell r="A105" t="str">
            <v>インドネシア</v>
          </cell>
          <cell r="B105" t="str">
            <v>IDN</v>
          </cell>
          <cell r="C105" t="str">
            <v>Indonesia</v>
          </cell>
        </row>
        <row r="106">
          <cell r="A106" t="str">
            <v>イラン</v>
          </cell>
          <cell r="B106" t="str">
            <v>IRN</v>
          </cell>
          <cell r="C106" t="str">
            <v>Iran</v>
          </cell>
        </row>
        <row r="107">
          <cell r="A107" t="str">
            <v>イラク</v>
          </cell>
          <cell r="B107" t="str">
            <v>IRQ</v>
          </cell>
          <cell r="C107" t="str">
            <v>Iraq</v>
          </cell>
        </row>
        <row r="108">
          <cell r="A108" t="str">
            <v>アイルランド</v>
          </cell>
          <cell r="B108" t="str">
            <v>IRL</v>
          </cell>
          <cell r="C108" t="str">
            <v>Ireland</v>
          </cell>
        </row>
        <row r="109">
          <cell r="A109" t="str">
            <v>マン島</v>
          </cell>
          <cell r="B109" t="str">
            <v>IMN</v>
          </cell>
          <cell r="C109" t="str">
            <v>Isle of Man</v>
          </cell>
        </row>
        <row r="110">
          <cell r="A110" t="str">
            <v>イスラエル</v>
          </cell>
          <cell r="B110" t="str">
            <v>ISR</v>
          </cell>
          <cell r="C110" t="str">
            <v>Israel</v>
          </cell>
        </row>
        <row r="111">
          <cell r="A111" t="str">
            <v>イタリア</v>
          </cell>
          <cell r="B111" t="str">
            <v>ITA</v>
          </cell>
          <cell r="C111" t="str">
            <v>Italy</v>
          </cell>
        </row>
        <row r="112">
          <cell r="A112" t="str">
            <v>ジャマイカ</v>
          </cell>
          <cell r="B112" t="str">
            <v>JAM</v>
          </cell>
          <cell r="C112" t="str">
            <v>Jamaica</v>
          </cell>
        </row>
        <row r="113">
          <cell r="A113" t="str">
            <v>日本</v>
          </cell>
          <cell r="B113" t="str">
            <v>JPN</v>
          </cell>
          <cell r="C113" t="str">
            <v>Japan</v>
          </cell>
        </row>
        <row r="114">
          <cell r="A114" t="str">
            <v>ジャージー</v>
          </cell>
          <cell r="B114" t="str">
            <v>JEY</v>
          </cell>
          <cell r="C114" t="str">
            <v>Jersey</v>
          </cell>
        </row>
        <row r="115">
          <cell r="A115" t="str">
            <v>ヨルダン</v>
          </cell>
          <cell r="B115" t="str">
            <v>JOR</v>
          </cell>
          <cell r="C115" t="str">
            <v>Jordan</v>
          </cell>
        </row>
        <row r="116">
          <cell r="A116" t="str">
            <v>カザフスタン</v>
          </cell>
          <cell r="B116" t="str">
            <v>KAZ</v>
          </cell>
          <cell r="C116" t="str">
            <v>Kazakhstan</v>
          </cell>
        </row>
        <row r="117">
          <cell r="A117" t="str">
            <v>ケニア</v>
          </cell>
          <cell r="B117" t="str">
            <v>KEN</v>
          </cell>
          <cell r="C117" t="str">
            <v>Kenya</v>
          </cell>
        </row>
        <row r="118">
          <cell r="A118" t="str">
            <v>キリバス</v>
          </cell>
          <cell r="B118" t="str">
            <v>KIR</v>
          </cell>
          <cell r="C118" t="str">
            <v>Kiribati</v>
          </cell>
        </row>
        <row r="119">
          <cell r="A119" t="str">
            <v>北朝鮮</v>
          </cell>
          <cell r="B119" t="str">
            <v>PRK</v>
          </cell>
          <cell r="C119" t="str">
            <v>North Korea</v>
          </cell>
        </row>
        <row r="120">
          <cell r="A120" t="str">
            <v>韓国</v>
          </cell>
          <cell r="B120" t="str">
            <v>KOR</v>
          </cell>
          <cell r="C120" t="str">
            <v>Korea</v>
          </cell>
        </row>
        <row r="121">
          <cell r="A121" t="str">
            <v>クウェート</v>
          </cell>
          <cell r="B121" t="str">
            <v>KWT</v>
          </cell>
          <cell r="C121" t="str">
            <v>Kuwait</v>
          </cell>
        </row>
        <row r="122">
          <cell r="A122" t="str">
            <v>キルギス</v>
          </cell>
          <cell r="B122" t="str">
            <v>KGZ</v>
          </cell>
          <cell r="C122" t="str">
            <v>Kyrgyzstan</v>
          </cell>
        </row>
        <row r="123">
          <cell r="A123" t="str">
            <v>ラオス</v>
          </cell>
          <cell r="B123" t="str">
            <v>LAO</v>
          </cell>
          <cell r="C123" t="str">
            <v>Lao People's Democratic Republic</v>
          </cell>
        </row>
        <row r="124">
          <cell r="A124" t="str">
            <v>ラトビア</v>
          </cell>
          <cell r="B124" t="str">
            <v>LVA</v>
          </cell>
          <cell r="C124" t="str">
            <v>Latvia</v>
          </cell>
        </row>
        <row r="125">
          <cell r="A125" t="str">
            <v>レバノン</v>
          </cell>
          <cell r="B125" t="str">
            <v>LBN</v>
          </cell>
          <cell r="C125" t="str">
            <v>Lebanon</v>
          </cell>
        </row>
        <row r="126">
          <cell r="A126" t="str">
            <v>レソト</v>
          </cell>
          <cell r="B126" t="str">
            <v>LSO</v>
          </cell>
          <cell r="C126" t="str">
            <v>Lesotho</v>
          </cell>
        </row>
        <row r="127">
          <cell r="A127" t="str">
            <v>リベリア</v>
          </cell>
          <cell r="B127" t="str">
            <v>LBR</v>
          </cell>
          <cell r="C127" t="str">
            <v>Liberia</v>
          </cell>
        </row>
        <row r="128">
          <cell r="A128" t="str">
            <v>リビア</v>
          </cell>
          <cell r="B128" t="str">
            <v>LBY</v>
          </cell>
          <cell r="C128" t="str">
            <v>Libya</v>
          </cell>
        </row>
        <row r="129">
          <cell r="A129" t="str">
            <v>リヒテンシュタイン</v>
          </cell>
          <cell r="B129" t="str">
            <v>LIE</v>
          </cell>
          <cell r="C129" t="str">
            <v>Liechtenstein</v>
          </cell>
        </row>
        <row r="130">
          <cell r="A130" t="str">
            <v>リトアニア</v>
          </cell>
          <cell r="B130" t="str">
            <v>LTU</v>
          </cell>
          <cell r="C130" t="str">
            <v>Lithuania</v>
          </cell>
        </row>
        <row r="131">
          <cell r="A131" t="str">
            <v>ルクセンブルク</v>
          </cell>
          <cell r="B131" t="str">
            <v>LUX</v>
          </cell>
          <cell r="C131" t="str">
            <v>Luxembourg</v>
          </cell>
        </row>
        <row r="132">
          <cell r="A132" t="str">
            <v>マカオ</v>
          </cell>
          <cell r="B132" t="str">
            <v>MAC</v>
          </cell>
          <cell r="C132" t="str">
            <v>Macao</v>
          </cell>
        </row>
        <row r="133">
          <cell r="A133" t="str">
            <v>マダガスカル</v>
          </cell>
          <cell r="B133" t="str">
            <v>MDG</v>
          </cell>
          <cell r="C133" t="str">
            <v>Madagascar</v>
          </cell>
        </row>
        <row r="134">
          <cell r="A134" t="str">
            <v>マラウイ</v>
          </cell>
          <cell r="B134" t="str">
            <v>MWI</v>
          </cell>
          <cell r="C134" t="str">
            <v>Malawi</v>
          </cell>
        </row>
        <row r="135">
          <cell r="A135" t="str">
            <v>マレーシア</v>
          </cell>
          <cell r="B135" t="str">
            <v>MYS</v>
          </cell>
          <cell r="C135" t="str">
            <v>Malaysia</v>
          </cell>
        </row>
        <row r="136">
          <cell r="A136" t="str">
            <v>モルディブ</v>
          </cell>
          <cell r="B136" t="str">
            <v>MDV</v>
          </cell>
          <cell r="C136" t="str">
            <v>Maldives</v>
          </cell>
        </row>
        <row r="137">
          <cell r="A137" t="str">
            <v>マリ</v>
          </cell>
          <cell r="B137" t="str">
            <v>MLI</v>
          </cell>
          <cell r="C137" t="str">
            <v>Mali</v>
          </cell>
        </row>
        <row r="138">
          <cell r="A138" t="str">
            <v>マルタ</v>
          </cell>
          <cell r="B138" t="str">
            <v>MLT</v>
          </cell>
          <cell r="C138" t="str">
            <v>Malta</v>
          </cell>
        </row>
        <row r="139">
          <cell r="A139" t="str">
            <v>マーシャル諸島</v>
          </cell>
          <cell r="B139" t="str">
            <v>MHL</v>
          </cell>
          <cell r="C139" t="str">
            <v>Marshall Islands</v>
          </cell>
        </row>
        <row r="140">
          <cell r="A140" t="str">
            <v>マルティニーク</v>
          </cell>
          <cell r="B140" t="str">
            <v>MTQ</v>
          </cell>
          <cell r="C140" t="str">
            <v>Martinique</v>
          </cell>
        </row>
        <row r="141">
          <cell r="A141" t="str">
            <v>モーリタニア</v>
          </cell>
          <cell r="B141" t="str">
            <v>MRT</v>
          </cell>
          <cell r="C141" t="str">
            <v>Mauritania</v>
          </cell>
        </row>
        <row r="142">
          <cell r="A142" t="str">
            <v>モーリシャス</v>
          </cell>
          <cell r="B142" t="str">
            <v>MUS</v>
          </cell>
          <cell r="C142" t="str">
            <v>Mauritius</v>
          </cell>
        </row>
        <row r="143">
          <cell r="A143" t="str">
            <v>マヨット</v>
          </cell>
          <cell r="B143" t="str">
            <v>MYT</v>
          </cell>
          <cell r="C143" t="str">
            <v>Mayotte</v>
          </cell>
        </row>
        <row r="144">
          <cell r="A144" t="str">
            <v>メキシコ</v>
          </cell>
          <cell r="B144" t="str">
            <v>MEX</v>
          </cell>
          <cell r="C144" t="str">
            <v>Mexico</v>
          </cell>
        </row>
        <row r="145">
          <cell r="A145" t="str">
            <v>ミクロネシア連邦</v>
          </cell>
          <cell r="B145" t="str">
            <v>FSM</v>
          </cell>
          <cell r="C145" t="str">
            <v>Micronesia</v>
          </cell>
        </row>
        <row r="146">
          <cell r="A146" t="str">
            <v>モルドバ</v>
          </cell>
          <cell r="B146" t="str">
            <v>MDA</v>
          </cell>
          <cell r="C146" t="str">
            <v>Moldova</v>
          </cell>
        </row>
        <row r="147">
          <cell r="A147" t="str">
            <v>モナコ</v>
          </cell>
          <cell r="B147" t="str">
            <v>MCO</v>
          </cell>
          <cell r="C147" t="str">
            <v>Monaco</v>
          </cell>
        </row>
        <row r="148">
          <cell r="A148" t="str">
            <v>モンゴル</v>
          </cell>
          <cell r="B148" t="str">
            <v>MNG</v>
          </cell>
          <cell r="C148" t="str">
            <v>Mongolia</v>
          </cell>
        </row>
        <row r="149">
          <cell r="A149" t="str">
            <v>モンテネグロ</v>
          </cell>
          <cell r="B149" t="str">
            <v>MNE</v>
          </cell>
          <cell r="C149" t="str">
            <v>Montenegro</v>
          </cell>
        </row>
        <row r="150">
          <cell r="A150" t="str">
            <v>モントセラト</v>
          </cell>
          <cell r="B150" t="str">
            <v>MSR</v>
          </cell>
          <cell r="C150" t="str">
            <v>Montserrat</v>
          </cell>
        </row>
        <row r="151">
          <cell r="A151" t="str">
            <v>モロッコ</v>
          </cell>
          <cell r="B151" t="str">
            <v>MAR</v>
          </cell>
          <cell r="C151" t="str">
            <v>Morocco</v>
          </cell>
        </row>
        <row r="152">
          <cell r="A152" t="str">
            <v>モザンビーク</v>
          </cell>
          <cell r="B152" t="str">
            <v>MOZ</v>
          </cell>
          <cell r="C152" t="str">
            <v>Mozambique</v>
          </cell>
        </row>
        <row r="153">
          <cell r="A153" t="str">
            <v>ミャンマー</v>
          </cell>
          <cell r="B153" t="str">
            <v>MMR</v>
          </cell>
          <cell r="C153" t="str">
            <v>Myanmar</v>
          </cell>
        </row>
        <row r="154">
          <cell r="A154" t="str">
            <v>ナミビア</v>
          </cell>
          <cell r="B154" t="str">
            <v>NAM</v>
          </cell>
          <cell r="C154" t="str">
            <v>Namibia</v>
          </cell>
        </row>
        <row r="155">
          <cell r="A155" t="str">
            <v>ナウル</v>
          </cell>
          <cell r="B155" t="str">
            <v>NRU</v>
          </cell>
          <cell r="C155" t="str">
            <v>Nauru</v>
          </cell>
        </row>
        <row r="156">
          <cell r="A156" t="str">
            <v>ネパール</v>
          </cell>
          <cell r="B156" t="str">
            <v>NPL</v>
          </cell>
          <cell r="C156" t="str">
            <v>Nepal</v>
          </cell>
        </row>
        <row r="157">
          <cell r="A157" t="str">
            <v>オランダ</v>
          </cell>
          <cell r="B157" t="str">
            <v>NLD</v>
          </cell>
          <cell r="C157" t="str">
            <v>Netherlands</v>
          </cell>
        </row>
        <row r="158">
          <cell r="A158" t="str">
            <v>ニューカレドニア</v>
          </cell>
          <cell r="B158" t="str">
            <v>NCL</v>
          </cell>
          <cell r="C158" t="str">
            <v>New Caledonia</v>
          </cell>
        </row>
        <row r="159">
          <cell r="A159" t="str">
            <v>ニュージーランド</v>
          </cell>
          <cell r="B159" t="str">
            <v>NZL</v>
          </cell>
          <cell r="C159" t="str">
            <v>New Zealand</v>
          </cell>
        </row>
        <row r="160">
          <cell r="A160" t="str">
            <v>ニカラグア</v>
          </cell>
          <cell r="B160" t="str">
            <v>NIC</v>
          </cell>
          <cell r="C160" t="str">
            <v>Nicaragua</v>
          </cell>
        </row>
        <row r="161">
          <cell r="A161" t="str">
            <v>ニジェール</v>
          </cell>
          <cell r="B161" t="str">
            <v>NER</v>
          </cell>
          <cell r="C161" t="str">
            <v>Niger</v>
          </cell>
        </row>
        <row r="162">
          <cell r="A162" t="str">
            <v>ナイジェリア</v>
          </cell>
          <cell r="B162" t="str">
            <v>NGA</v>
          </cell>
          <cell r="C162" t="str">
            <v>Nigeria</v>
          </cell>
        </row>
        <row r="163">
          <cell r="A163" t="str">
            <v>ニウエ</v>
          </cell>
          <cell r="B163" t="str">
            <v>NIU</v>
          </cell>
          <cell r="C163" t="str">
            <v>Niue</v>
          </cell>
        </row>
        <row r="164">
          <cell r="A164" t="str">
            <v>ノーフォーク島</v>
          </cell>
          <cell r="B164" t="str">
            <v>NFK</v>
          </cell>
          <cell r="C164" t="str">
            <v>Norfolk Island</v>
          </cell>
        </row>
        <row r="165">
          <cell r="A165" t="str">
            <v>北マケドニア</v>
          </cell>
          <cell r="B165" t="str">
            <v>MKD</v>
          </cell>
          <cell r="C165" t="str">
            <v>North Macedonia</v>
          </cell>
        </row>
        <row r="166">
          <cell r="A166" t="str">
            <v>北マリアナ諸島</v>
          </cell>
          <cell r="B166" t="str">
            <v>MNP</v>
          </cell>
          <cell r="C166" t="str">
            <v>Northern Mariana Islands</v>
          </cell>
        </row>
        <row r="167">
          <cell r="A167" t="str">
            <v>ノルウェー</v>
          </cell>
          <cell r="B167" t="str">
            <v>NOR</v>
          </cell>
          <cell r="C167" t="str">
            <v>Norway</v>
          </cell>
        </row>
        <row r="168">
          <cell r="A168" t="str">
            <v>オマーン</v>
          </cell>
          <cell r="B168" t="str">
            <v>OMN</v>
          </cell>
          <cell r="C168" t="str">
            <v>Oman</v>
          </cell>
        </row>
        <row r="169">
          <cell r="A169" t="str">
            <v>パキスタン</v>
          </cell>
          <cell r="B169" t="str">
            <v>PAK</v>
          </cell>
          <cell r="C169" t="str">
            <v>Pakistan</v>
          </cell>
        </row>
        <row r="170">
          <cell r="A170" t="str">
            <v>パラオ</v>
          </cell>
          <cell r="B170" t="str">
            <v>PLW</v>
          </cell>
          <cell r="C170" t="str">
            <v>Palau</v>
          </cell>
        </row>
        <row r="171">
          <cell r="A171" t="str">
            <v>パレスチナ</v>
          </cell>
          <cell r="B171" t="str">
            <v>PSE</v>
          </cell>
          <cell r="C171" t="str">
            <v>Palestine</v>
          </cell>
        </row>
        <row r="172">
          <cell r="A172" t="str">
            <v>パナマ</v>
          </cell>
          <cell r="B172" t="str">
            <v>PAN</v>
          </cell>
          <cell r="C172" t="str">
            <v>Panama</v>
          </cell>
        </row>
        <row r="173">
          <cell r="A173" t="str">
            <v>パプアニューギニア</v>
          </cell>
          <cell r="B173" t="str">
            <v>PNG</v>
          </cell>
          <cell r="C173" t="str">
            <v>Papua New Guinea</v>
          </cell>
        </row>
        <row r="174">
          <cell r="A174" t="str">
            <v>パラグアイ</v>
          </cell>
          <cell r="B174" t="str">
            <v>PRY</v>
          </cell>
          <cell r="C174" t="str">
            <v>Paraguay</v>
          </cell>
        </row>
        <row r="175">
          <cell r="A175" t="str">
            <v>ペルー</v>
          </cell>
          <cell r="B175" t="str">
            <v>PER</v>
          </cell>
          <cell r="C175" t="str">
            <v>Peru</v>
          </cell>
        </row>
        <row r="176">
          <cell r="A176" t="str">
            <v>フィリピン</v>
          </cell>
          <cell r="B176" t="str">
            <v>PHL</v>
          </cell>
          <cell r="C176" t="str">
            <v>Philippines</v>
          </cell>
        </row>
        <row r="177">
          <cell r="A177" t="str">
            <v>ピトケアン諸島</v>
          </cell>
          <cell r="B177" t="str">
            <v>PCN</v>
          </cell>
          <cell r="C177" t="str">
            <v>Pitcairn</v>
          </cell>
        </row>
        <row r="178">
          <cell r="A178" t="str">
            <v>ポーランド</v>
          </cell>
          <cell r="B178" t="str">
            <v>POL</v>
          </cell>
          <cell r="C178" t="str">
            <v>Poland</v>
          </cell>
        </row>
        <row r="179">
          <cell r="A179" t="str">
            <v>ポルトガル</v>
          </cell>
          <cell r="B179" t="str">
            <v>PRT</v>
          </cell>
          <cell r="C179" t="str">
            <v>Portugal</v>
          </cell>
        </row>
        <row r="180">
          <cell r="A180" t="str">
            <v>プエルトリコ</v>
          </cell>
          <cell r="B180" t="str">
            <v>PRI</v>
          </cell>
          <cell r="C180" t="str">
            <v>Puerto Rico</v>
          </cell>
        </row>
        <row r="181">
          <cell r="A181" t="str">
            <v>カタール</v>
          </cell>
          <cell r="B181" t="str">
            <v>QAT</v>
          </cell>
          <cell r="C181" t="str">
            <v>Qatar</v>
          </cell>
        </row>
        <row r="182">
          <cell r="A182" t="str">
            <v>レユニオン</v>
          </cell>
          <cell r="B182" t="str">
            <v>REU</v>
          </cell>
          <cell r="C182" t="str">
            <v>Réunion</v>
          </cell>
        </row>
        <row r="183">
          <cell r="A183" t="str">
            <v>ルーマニア</v>
          </cell>
          <cell r="B183" t="str">
            <v>ROU</v>
          </cell>
          <cell r="C183" t="str">
            <v>Romania</v>
          </cell>
        </row>
        <row r="184">
          <cell r="A184" t="str">
            <v>ロシア</v>
          </cell>
          <cell r="B184" t="str">
            <v>RUS</v>
          </cell>
          <cell r="C184" t="str">
            <v>Russian Federation</v>
          </cell>
        </row>
        <row r="185">
          <cell r="A185" t="str">
            <v>ルワンダ</v>
          </cell>
          <cell r="B185" t="str">
            <v>RWA</v>
          </cell>
          <cell r="C185" t="str">
            <v>Rwanda</v>
          </cell>
        </row>
        <row r="186">
          <cell r="A186" t="str">
            <v>サン・バルテルミー</v>
          </cell>
          <cell r="B186" t="str">
            <v>BLM</v>
          </cell>
          <cell r="C186" t="str">
            <v>Saint Barthélemy</v>
          </cell>
        </row>
        <row r="187">
          <cell r="A187" t="str">
            <v>セントヘレナ・アセンションおよびトリスタンダクーニャ</v>
          </cell>
          <cell r="B187" t="str">
            <v>SHN</v>
          </cell>
          <cell r="C187" t="str">
            <v>Saint Helena</v>
          </cell>
        </row>
        <row r="188">
          <cell r="A188" t="str">
            <v>セントクリストファー・ネーヴィス</v>
          </cell>
          <cell r="B188" t="str">
            <v>KNA</v>
          </cell>
          <cell r="C188" t="str">
            <v>Saint Kitts and Nevis</v>
          </cell>
        </row>
        <row r="189">
          <cell r="A189" t="str">
            <v>セントルシア</v>
          </cell>
          <cell r="B189" t="str">
            <v>LCA</v>
          </cell>
          <cell r="C189" t="str">
            <v>Saint Lucia</v>
          </cell>
        </row>
        <row r="190">
          <cell r="A190" t="str">
            <v>サン・マルタン（フランス領）</v>
          </cell>
          <cell r="B190" t="str">
            <v>MAF</v>
          </cell>
          <cell r="C190" t="str">
            <v>Saint Martin (French part)</v>
          </cell>
        </row>
        <row r="191">
          <cell r="A191" t="str">
            <v>サンピエール島・ミクロン島</v>
          </cell>
          <cell r="B191" t="str">
            <v>SPM</v>
          </cell>
          <cell r="C191" t="str">
            <v>Saint Pierre and Miquelon</v>
          </cell>
        </row>
        <row r="192">
          <cell r="A192" t="str">
            <v>セントビンセントおよびグレナディーン諸島</v>
          </cell>
          <cell r="B192" t="str">
            <v>VCT</v>
          </cell>
          <cell r="C192" t="str">
            <v>Saint Vincent and the Grenadines</v>
          </cell>
        </row>
        <row r="193">
          <cell r="A193" t="str">
            <v>サモア</v>
          </cell>
          <cell r="B193" t="str">
            <v>WSM</v>
          </cell>
          <cell r="C193" t="str">
            <v>Samoa</v>
          </cell>
        </row>
        <row r="194">
          <cell r="A194" t="str">
            <v>サンマリノ</v>
          </cell>
          <cell r="B194" t="str">
            <v>SMR</v>
          </cell>
          <cell r="C194" t="str">
            <v>San Marino</v>
          </cell>
        </row>
        <row r="195">
          <cell r="A195" t="str">
            <v>サントメ・プリンシペ</v>
          </cell>
          <cell r="B195" t="str">
            <v>STP</v>
          </cell>
          <cell r="C195" t="str">
            <v>Sao Tome and Principe</v>
          </cell>
        </row>
        <row r="196">
          <cell r="A196" t="str">
            <v>サウジアラビア</v>
          </cell>
          <cell r="B196" t="str">
            <v>SAU</v>
          </cell>
          <cell r="C196" t="str">
            <v>Saudi Arabia</v>
          </cell>
        </row>
        <row r="197">
          <cell r="A197" t="str">
            <v>セネガル</v>
          </cell>
          <cell r="B197" t="str">
            <v>SEN</v>
          </cell>
          <cell r="C197" t="str">
            <v>Senegal</v>
          </cell>
        </row>
        <row r="198">
          <cell r="A198" t="str">
            <v>セルビア</v>
          </cell>
          <cell r="B198" t="str">
            <v>SRB</v>
          </cell>
          <cell r="C198" t="str">
            <v>Serbia</v>
          </cell>
        </row>
        <row r="199">
          <cell r="A199" t="str">
            <v>セーシェル</v>
          </cell>
          <cell r="B199" t="str">
            <v>SYC</v>
          </cell>
          <cell r="C199" t="str">
            <v>Seychelles</v>
          </cell>
        </row>
        <row r="200">
          <cell r="A200" t="str">
            <v>シエラレオネ</v>
          </cell>
          <cell r="B200" t="str">
            <v>SLE</v>
          </cell>
          <cell r="C200" t="str">
            <v>Sierra Leone</v>
          </cell>
        </row>
        <row r="201">
          <cell r="A201" t="str">
            <v>シンガポール</v>
          </cell>
          <cell r="B201" t="str">
            <v>SGP</v>
          </cell>
          <cell r="C201" t="str">
            <v>Singapore</v>
          </cell>
        </row>
        <row r="202">
          <cell r="A202" t="str">
            <v>シント・マールテン</v>
          </cell>
          <cell r="B202" t="str">
            <v>SXM</v>
          </cell>
          <cell r="C202" t="str">
            <v>Sint Maarten (Dutch part)</v>
          </cell>
        </row>
        <row r="203">
          <cell r="A203" t="str">
            <v>スロバキア</v>
          </cell>
          <cell r="B203" t="str">
            <v>SVK</v>
          </cell>
          <cell r="C203" t="str">
            <v>Slovakia</v>
          </cell>
        </row>
        <row r="204">
          <cell r="A204" t="str">
            <v>スロベニア</v>
          </cell>
          <cell r="B204" t="str">
            <v>SVN</v>
          </cell>
          <cell r="C204" t="str">
            <v>Slovenia</v>
          </cell>
        </row>
        <row r="205">
          <cell r="A205" t="str">
            <v>ソロモン諸島</v>
          </cell>
          <cell r="B205" t="str">
            <v>SLB</v>
          </cell>
          <cell r="C205" t="str">
            <v>Solomon Islands</v>
          </cell>
        </row>
        <row r="206">
          <cell r="A206" t="str">
            <v>ソマリア</v>
          </cell>
          <cell r="B206" t="str">
            <v>SOM</v>
          </cell>
          <cell r="C206" t="str">
            <v>Somalia</v>
          </cell>
        </row>
        <row r="207">
          <cell r="A207" t="str">
            <v>南アフリカ</v>
          </cell>
          <cell r="B207" t="str">
            <v>ZAF</v>
          </cell>
          <cell r="C207" t="str">
            <v>South Africa</v>
          </cell>
        </row>
        <row r="208">
          <cell r="A208" t="str">
            <v>サウスジョージア・サウスサンドウィッチ諸島</v>
          </cell>
          <cell r="B208" t="str">
            <v>SGS</v>
          </cell>
          <cell r="C208" t="str">
            <v>South Georgia and the South Sandwich Islands</v>
          </cell>
        </row>
        <row r="209">
          <cell r="A209" t="str">
            <v>南スーダン</v>
          </cell>
          <cell r="B209" t="str">
            <v>SSD</v>
          </cell>
          <cell r="C209" t="str">
            <v>South Sudan</v>
          </cell>
        </row>
        <row r="210">
          <cell r="A210" t="str">
            <v>スペイン</v>
          </cell>
          <cell r="B210" t="str">
            <v>ESP</v>
          </cell>
          <cell r="C210" t="str">
            <v>Spain</v>
          </cell>
        </row>
        <row r="211">
          <cell r="A211" t="str">
            <v>スリランカ</v>
          </cell>
          <cell r="B211" t="str">
            <v>LKA</v>
          </cell>
          <cell r="C211" t="str">
            <v>Sri Lanka</v>
          </cell>
        </row>
        <row r="212">
          <cell r="A212" t="str">
            <v>スーダン</v>
          </cell>
          <cell r="B212" t="str">
            <v>SDN</v>
          </cell>
          <cell r="C212" t="str">
            <v>Sudan</v>
          </cell>
        </row>
        <row r="213">
          <cell r="A213" t="str">
            <v>スリナム</v>
          </cell>
          <cell r="B213" t="str">
            <v>SUR</v>
          </cell>
          <cell r="C213" t="str">
            <v>Suriname</v>
          </cell>
        </row>
        <row r="214">
          <cell r="A214" t="str">
            <v>スヴァールバル諸島およびヤンマイエン島</v>
          </cell>
          <cell r="B214" t="str">
            <v>SJM</v>
          </cell>
          <cell r="C214" t="str">
            <v>Svalbard and Jan Mayen</v>
          </cell>
        </row>
        <row r="215">
          <cell r="A215" t="str">
            <v>スウェーデン</v>
          </cell>
          <cell r="B215" t="str">
            <v>SWE</v>
          </cell>
          <cell r="C215" t="str">
            <v>Sweden</v>
          </cell>
        </row>
        <row r="216">
          <cell r="A216" t="str">
            <v>スイス</v>
          </cell>
          <cell r="B216" t="str">
            <v>CHE</v>
          </cell>
          <cell r="C216" t="str">
            <v>Switzerland</v>
          </cell>
        </row>
        <row r="217">
          <cell r="A217" t="str">
            <v>シリア</v>
          </cell>
          <cell r="B217" t="str">
            <v>SYR</v>
          </cell>
          <cell r="C217" t="str">
            <v>Syrian Arab Republic</v>
          </cell>
        </row>
        <row r="218">
          <cell r="A218" t="str">
            <v>台湾</v>
          </cell>
          <cell r="B218" t="str">
            <v>TWN</v>
          </cell>
          <cell r="C218" t="str">
            <v>Taiwan</v>
          </cell>
        </row>
        <row r="219">
          <cell r="A219" t="str">
            <v>タジキスタン</v>
          </cell>
          <cell r="B219" t="str">
            <v>TJK</v>
          </cell>
          <cell r="C219" t="str">
            <v>Tajikistan</v>
          </cell>
        </row>
        <row r="220">
          <cell r="A220" t="str">
            <v>タンザニア</v>
          </cell>
          <cell r="B220" t="str">
            <v>TZA</v>
          </cell>
          <cell r="C220" t="str">
            <v>Tanzania</v>
          </cell>
        </row>
        <row r="221">
          <cell r="A221" t="str">
            <v>タイ</v>
          </cell>
          <cell r="B221" t="str">
            <v>THA</v>
          </cell>
          <cell r="C221" t="str">
            <v>Thailand</v>
          </cell>
        </row>
        <row r="222">
          <cell r="A222" t="str">
            <v>東ティモール</v>
          </cell>
          <cell r="B222" t="str">
            <v>TLS</v>
          </cell>
          <cell r="C222" t="str">
            <v>Timor-Leste</v>
          </cell>
        </row>
        <row r="223">
          <cell r="A223" t="str">
            <v>トーゴ</v>
          </cell>
          <cell r="B223" t="str">
            <v>TGO</v>
          </cell>
          <cell r="C223" t="str">
            <v>Togo</v>
          </cell>
        </row>
        <row r="224">
          <cell r="A224" t="str">
            <v>トケラウ</v>
          </cell>
          <cell r="B224" t="str">
            <v>TKL</v>
          </cell>
          <cell r="C224" t="str">
            <v>Tokelau</v>
          </cell>
        </row>
        <row r="225">
          <cell r="A225" t="str">
            <v>トンガ</v>
          </cell>
          <cell r="B225" t="str">
            <v>TON</v>
          </cell>
          <cell r="C225" t="str">
            <v>Tonga</v>
          </cell>
        </row>
        <row r="226">
          <cell r="A226" t="str">
            <v>トリニダード・トバゴ</v>
          </cell>
          <cell r="B226" t="str">
            <v>TTO</v>
          </cell>
          <cell r="C226" t="str">
            <v>Trinidad and Tobago</v>
          </cell>
        </row>
        <row r="227">
          <cell r="A227" t="str">
            <v>チュニジア</v>
          </cell>
          <cell r="B227" t="str">
            <v>TUN</v>
          </cell>
          <cell r="C227" t="str">
            <v>Tunisia</v>
          </cell>
        </row>
        <row r="228">
          <cell r="A228" t="str">
            <v>トルコ</v>
          </cell>
          <cell r="B228" t="str">
            <v>TUR</v>
          </cell>
          <cell r="C228" t="str">
            <v>Türkiye</v>
          </cell>
        </row>
        <row r="229">
          <cell r="A229" t="str">
            <v>トルクメニスタン</v>
          </cell>
          <cell r="B229" t="str">
            <v>TKM</v>
          </cell>
          <cell r="C229" t="str">
            <v>Turkmenistan</v>
          </cell>
        </row>
        <row r="230">
          <cell r="A230" t="str">
            <v>タークス・カイコス諸島</v>
          </cell>
          <cell r="B230" t="str">
            <v>TCA</v>
          </cell>
          <cell r="C230" t="str">
            <v>Turks and Caicos Islands</v>
          </cell>
        </row>
        <row r="231">
          <cell r="A231" t="str">
            <v>ツバル</v>
          </cell>
          <cell r="B231" t="str">
            <v>TUV</v>
          </cell>
          <cell r="C231" t="str">
            <v>Tuvalu</v>
          </cell>
        </row>
        <row r="232">
          <cell r="A232" t="str">
            <v>ウガンダ</v>
          </cell>
          <cell r="B232" t="str">
            <v>UGA</v>
          </cell>
          <cell r="C232" t="str">
            <v>Uganda</v>
          </cell>
        </row>
        <row r="233">
          <cell r="A233" t="str">
            <v>ウクライナ</v>
          </cell>
          <cell r="B233" t="str">
            <v>UKR</v>
          </cell>
          <cell r="C233" t="str">
            <v>Ukraine</v>
          </cell>
        </row>
        <row r="234">
          <cell r="A234" t="str">
            <v>UAE</v>
          </cell>
          <cell r="B234" t="str">
            <v>ARE</v>
          </cell>
          <cell r="C234" t="str">
            <v>United Arab Emirates</v>
          </cell>
        </row>
        <row r="235">
          <cell r="A235" t="str">
            <v>イギリス</v>
          </cell>
          <cell r="B235" t="str">
            <v>GBR</v>
          </cell>
          <cell r="C235" t="str">
            <v>Britain</v>
          </cell>
        </row>
        <row r="236">
          <cell r="A236" t="str">
            <v>アメリカ</v>
          </cell>
          <cell r="B236" t="str">
            <v>USA</v>
          </cell>
          <cell r="C236" t="str">
            <v>America</v>
          </cell>
        </row>
        <row r="237">
          <cell r="A237" t="str">
            <v>合衆国外諸島</v>
          </cell>
          <cell r="B237" t="str">
            <v>UMI</v>
          </cell>
          <cell r="C237" t="str">
            <v>United States Minor Outlying Islands</v>
          </cell>
        </row>
        <row r="238">
          <cell r="A238" t="str">
            <v>ウルグアイ</v>
          </cell>
          <cell r="B238" t="str">
            <v>URY</v>
          </cell>
          <cell r="C238" t="str">
            <v>Uruguay</v>
          </cell>
        </row>
        <row r="239">
          <cell r="A239" t="str">
            <v>ウズベキスタン</v>
          </cell>
          <cell r="B239" t="str">
            <v>UZB</v>
          </cell>
          <cell r="C239" t="str">
            <v>Uzbekistan</v>
          </cell>
        </row>
        <row r="240">
          <cell r="A240" t="str">
            <v>バヌアツ</v>
          </cell>
          <cell r="B240" t="str">
            <v>VUT</v>
          </cell>
          <cell r="C240" t="str">
            <v>Vanuatu</v>
          </cell>
        </row>
        <row r="241">
          <cell r="A241" t="str">
            <v>ベネズエラ</v>
          </cell>
          <cell r="B241" t="str">
            <v>VEN</v>
          </cell>
          <cell r="C241" t="str">
            <v>Venezuela</v>
          </cell>
        </row>
        <row r="242">
          <cell r="A242" t="str">
            <v>ベトナム</v>
          </cell>
          <cell r="B242" t="str">
            <v>VNM</v>
          </cell>
          <cell r="C242" t="str">
            <v>Viet Nam</v>
          </cell>
        </row>
        <row r="243">
          <cell r="A243" t="str">
            <v>ウォリス・フツナ</v>
          </cell>
          <cell r="B243" t="str">
            <v>WLF</v>
          </cell>
          <cell r="C243" t="str">
            <v>Wallis and Futuna</v>
          </cell>
        </row>
        <row r="244">
          <cell r="A244" t="str">
            <v>西サハラ</v>
          </cell>
          <cell r="B244" t="str">
            <v>ESH</v>
          </cell>
          <cell r="C244" t="str">
            <v>Western Sahara</v>
          </cell>
        </row>
        <row r="245">
          <cell r="A245" t="str">
            <v>イエメン</v>
          </cell>
          <cell r="B245" t="str">
            <v>YEM</v>
          </cell>
          <cell r="C245" t="str">
            <v>Yemen</v>
          </cell>
        </row>
        <row r="246">
          <cell r="A246" t="str">
            <v>ザンビア</v>
          </cell>
          <cell r="B246" t="str">
            <v>ZMB</v>
          </cell>
          <cell r="C246" t="str">
            <v>Zambia</v>
          </cell>
        </row>
        <row r="247">
          <cell r="A247" t="str">
            <v>ジンバブエ</v>
          </cell>
          <cell r="B247" t="str">
            <v>ZWE</v>
          </cell>
          <cell r="C247" t="str">
            <v>Zimbabwe</v>
          </cell>
        </row>
        <row r="248">
          <cell r="A248" t="str">
            <v>CPTPP</v>
          </cell>
          <cell r="B248" t="str">
            <v>CPTPP</v>
          </cell>
          <cell r="C248" t="str">
            <v>Comprehensive and Progressive Agreement for Trans-Pacific Partnership</v>
          </cell>
        </row>
        <row r="249">
          <cell r="A249" t="str">
            <v>欧州連合</v>
          </cell>
          <cell r="B249" t="str">
            <v>EU</v>
          </cell>
          <cell r="C249" t="str">
            <v>EU</v>
          </cell>
        </row>
        <row r="250">
          <cell r="A250" t="str">
            <v>コソボ</v>
          </cell>
          <cell r="B250" t="str">
            <v>XKK</v>
          </cell>
          <cell r="C250" t="str">
            <v>Kosovo</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oomberg.com/news/articles/2026-03-31/paraguay-names-interim-finance-chief-after-fernandez-resigns" TargetMode="External"/><Relationship Id="rId7" Type="http://schemas.openxmlformats.org/officeDocument/2006/relationships/printerSettings" Target="../printerSettings/printerSettings1.bin"/><Relationship Id="rId2" Type="http://schemas.openxmlformats.org/officeDocument/2006/relationships/hyperlink" Target="https://www.bloomberg.com/news/articles/2026-03-30/russian-oil-shipment-buys-us-and-cuba-time-as-crisis-festers" TargetMode="External"/><Relationship Id="rId1" Type="http://schemas.openxmlformats.org/officeDocument/2006/relationships/hyperlink" Target="https://www.reuters.com/world/europe/exit-polls-suggest-italys-meloni-has-narrowly-lost-justice-referendum-vote-2026-03-23/" TargetMode="External"/><Relationship Id="rId6" Type="http://schemas.openxmlformats.org/officeDocument/2006/relationships/hyperlink" Target="https://www.bloomberg.com/news/articles/2026-04-24/us-sanctions-china-refinery-iran-shadow-fleet-ahead-of-talks?srnd=phx-politics" TargetMode="External"/><Relationship Id="rId5" Type="http://schemas.openxmlformats.org/officeDocument/2006/relationships/hyperlink" Target="https://www.reuters.com/world/africa/benins-finance-minister-wadagni-wins-presidential-election-with-94-landslide-2026-04-13/" TargetMode="External"/><Relationship Id="rId4" Type="http://schemas.openxmlformats.org/officeDocument/2006/relationships/hyperlink" Target="https://www.bloomberg.com/news/articles/2026-03-31/third-us-aircraft-carrier-heads-to-mideast-as-iran-war-contin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3815-6F7F-462F-8165-5CE05A98A928}">
  <dimension ref="A1:V370"/>
  <sheetViews>
    <sheetView tabSelected="1" zoomScale="85" zoomScaleNormal="85" workbookViewId="0">
      <pane ySplit="1" topLeftCell="A179" activePane="bottomLeft" state="frozen"/>
      <selection pane="bottomLeft" activeCell="A179" sqref="A179"/>
    </sheetView>
  </sheetViews>
  <sheetFormatPr defaultRowHeight="18"/>
  <cols>
    <col min="1" max="2" width="8.796875" style="2" customWidth="1"/>
    <col min="4" max="5" width="34.19921875" customWidth="1"/>
    <col min="13" max="15" width="8.796875" style="2" customWidth="1"/>
    <col min="16" max="16" width="8.796875" style="2"/>
    <col min="19" max="19" width="10.3984375" bestFit="1" customWidth="1"/>
  </cols>
  <sheetData>
    <row r="1" spans="1:22">
      <c r="A1" s="2" t="s">
        <v>0</v>
      </c>
      <c r="B1" s="2" t="s">
        <v>1</v>
      </c>
      <c r="C1" t="s">
        <v>2</v>
      </c>
      <c r="D1" t="s">
        <v>3</v>
      </c>
      <c r="E1" t="s">
        <v>4</v>
      </c>
      <c r="F1" t="s">
        <v>866</v>
      </c>
      <c r="G1" t="s">
        <v>867</v>
      </c>
      <c r="H1" t="s">
        <v>868</v>
      </c>
      <c r="I1" t="s">
        <v>5</v>
      </c>
      <c r="J1" t="s">
        <v>6</v>
      </c>
      <c r="K1" t="s">
        <v>7</v>
      </c>
      <c r="L1" t="s">
        <v>8</v>
      </c>
      <c r="M1" s="2" t="s">
        <v>9</v>
      </c>
      <c r="N1" s="2" t="s">
        <v>10</v>
      </c>
      <c r="O1" s="2" t="s">
        <v>11</v>
      </c>
      <c r="P1" s="2" t="s">
        <v>12</v>
      </c>
      <c r="Q1" t="s">
        <v>13</v>
      </c>
      <c r="R1" t="s">
        <v>14</v>
      </c>
      <c r="S1" t="s">
        <v>15</v>
      </c>
      <c r="T1" t="s">
        <v>16</v>
      </c>
      <c r="U1" t="s">
        <v>17</v>
      </c>
      <c r="V1" t="s">
        <v>18</v>
      </c>
    </row>
    <row r="2" spans="1:22">
      <c r="A2" s="2" t="str">
        <f>IF(C2="","",VLOOKUP(C2,[1]ISO辞書!A:C,2,FALSE))</f>
        <v>SVN</v>
      </c>
      <c r="B2" s="3" t="str">
        <f>IF(C2="","",VLOOKUP(C2,[1]ISO辞書!A:C,3,FALSE))</f>
        <v>Slovenia</v>
      </c>
      <c r="C2" t="s">
        <v>123</v>
      </c>
      <c r="D2" t="s">
        <v>124</v>
      </c>
      <c r="E2" t="s">
        <v>544</v>
      </c>
      <c r="M2" s="2" t="str">
        <f>IF(J2="","",VLOOKUP(J2,[1]ISO辞書!A:B,2,FALSE))</f>
        <v/>
      </c>
      <c r="N2" s="2" t="str">
        <f>IF(K2="","",VLOOKUP(K2,[1]ISO辞書!A:B,2,FALSE))</f>
        <v/>
      </c>
      <c r="O2" s="2" t="str">
        <f>IF(L2="","",VLOOKUP(L2,[1]ISO辞書!A:B,2,FALSE))</f>
        <v/>
      </c>
      <c r="P2" s="3" t="str">
        <f t="shared" ref="P2:P65" si="0">_xlfn.TEXTJOIN(";",TRUE,M2:O2)</f>
        <v/>
      </c>
      <c r="Q2" t="s">
        <v>545</v>
      </c>
      <c r="R2" t="s">
        <v>64</v>
      </c>
      <c r="S2" s="1">
        <v>46103</v>
      </c>
      <c r="T2" t="s">
        <v>121</v>
      </c>
      <c r="U2" t="s">
        <v>125</v>
      </c>
      <c r="V2">
        <v>2</v>
      </c>
    </row>
    <row r="3" spans="1:22">
      <c r="A3" s="2" t="str">
        <f>IF(C3="","",VLOOKUP(C3,[1]ISO辞書!A:C,2,FALSE))</f>
        <v>TCD</v>
      </c>
      <c r="B3" s="3" t="str">
        <f>IF(C3="","",VLOOKUP(C3,[1]ISO辞書!A:C,3,FALSE))</f>
        <v>Chad</v>
      </c>
      <c r="C3" t="s">
        <v>19</v>
      </c>
      <c r="D3" t="s">
        <v>20</v>
      </c>
      <c r="E3" t="s">
        <v>546</v>
      </c>
      <c r="J3" t="s">
        <v>21</v>
      </c>
      <c r="M3" s="2" t="str">
        <f>IF(J3="","",VLOOKUP(J3,[1]ISO辞書!A:B,2,FALSE))</f>
        <v>SDN</v>
      </c>
      <c r="N3" s="2" t="str">
        <f>IF(K3="","",VLOOKUP(K3,[1]ISO辞書!A:B,2,FALSE))</f>
        <v/>
      </c>
      <c r="O3" s="2" t="str">
        <f>IF(L3="","",VLOOKUP(L3,[1]ISO辞書!A:B,2,FALSE))</f>
        <v/>
      </c>
      <c r="P3" s="3" t="str">
        <f t="shared" si="0"/>
        <v>SDN</v>
      </c>
      <c r="Q3" t="s">
        <v>547</v>
      </c>
      <c r="R3" t="s">
        <v>22</v>
      </c>
      <c r="S3" s="1">
        <v>46104</v>
      </c>
      <c r="T3" t="s">
        <v>23</v>
      </c>
      <c r="U3" t="s">
        <v>24</v>
      </c>
      <c r="V3">
        <v>1</v>
      </c>
    </row>
    <row r="4" spans="1:22">
      <c r="A4" s="2" t="str">
        <f>IF(C4="","",VLOOKUP(C4,[1]ISO辞書!A:C,2,FALSE))</f>
        <v>CRI</v>
      </c>
      <c r="B4" s="3" t="str">
        <f>IF(C4="","",VLOOKUP(C4,[1]ISO辞書!A:C,3,FALSE))</f>
        <v>Costa Rica</v>
      </c>
      <c r="C4" t="s">
        <v>48</v>
      </c>
      <c r="D4" t="s">
        <v>49</v>
      </c>
      <c r="E4" t="s">
        <v>548</v>
      </c>
      <c r="J4" t="s">
        <v>25</v>
      </c>
      <c r="M4" s="2" t="str">
        <f>IF(J4="","",VLOOKUP(J4,[1]ISO辞書!A:B,2,FALSE))</f>
        <v>USA</v>
      </c>
      <c r="N4" s="2" t="str">
        <f>IF(K4="","",VLOOKUP(K4,[1]ISO辞書!A:B,2,FALSE))</f>
        <v/>
      </c>
      <c r="O4" s="2" t="str">
        <f>IF(L4="","",VLOOKUP(L4,[1]ISO辞書!A:B,2,FALSE))</f>
        <v/>
      </c>
      <c r="P4" s="3" t="str">
        <f t="shared" si="0"/>
        <v>USA</v>
      </c>
      <c r="Q4" t="s">
        <v>549</v>
      </c>
      <c r="R4" t="s">
        <v>43</v>
      </c>
      <c r="S4" s="1">
        <v>46104</v>
      </c>
      <c r="T4" t="s">
        <v>23</v>
      </c>
      <c r="U4" t="s">
        <v>50</v>
      </c>
      <c r="V4">
        <v>4</v>
      </c>
    </row>
    <row r="5" spans="1:22">
      <c r="A5" s="2" t="str">
        <f>IF(C5="","",VLOOKUP(C5,[1]ISO辞書!A:C,2,FALSE))</f>
        <v>CHN</v>
      </c>
      <c r="B5" s="3" t="str">
        <f>IF(C5="","",VLOOKUP(C5,[1]ISO辞書!A:C,3,FALSE))</f>
        <v>China</v>
      </c>
      <c r="C5" t="s">
        <v>57</v>
      </c>
      <c r="D5" t="s">
        <v>85</v>
      </c>
      <c r="E5" t="s">
        <v>550</v>
      </c>
      <c r="M5" s="2" t="str">
        <f>IF(J5="","",VLOOKUP(J5,[1]ISO辞書!A:B,2,FALSE))</f>
        <v/>
      </c>
      <c r="N5" s="2" t="str">
        <f>IF(K5="","",VLOOKUP(K5,[1]ISO辞書!A:B,2,FALSE))</f>
        <v/>
      </c>
      <c r="O5" s="2" t="str">
        <f>IF(L5="","",VLOOKUP(L5,[1]ISO辞書!A:B,2,FALSE))</f>
        <v/>
      </c>
      <c r="P5" s="3" t="str">
        <f t="shared" si="0"/>
        <v/>
      </c>
      <c r="Q5" t="s">
        <v>551</v>
      </c>
      <c r="R5" t="s">
        <v>64</v>
      </c>
      <c r="S5" s="1">
        <v>46104</v>
      </c>
      <c r="T5" t="s">
        <v>23</v>
      </c>
      <c r="U5" t="s">
        <v>86</v>
      </c>
      <c r="V5">
        <v>5</v>
      </c>
    </row>
    <row r="6" spans="1:22">
      <c r="A6" s="2" t="str">
        <f>IF(C6="","",VLOOKUP(C6,[1]ISO辞書!A:C,2,FALSE))</f>
        <v>ISR</v>
      </c>
      <c r="B6" s="3" t="str">
        <f>IF(C6="","",VLOOKUP(C6,[1]ISO辞書!A:C,3,FALSE))</f>
        <v>Israel</v>
      </c>
      <c r="C6" t="s">
        <v>118</v>
      </c>
      <c r="D6" t="s">
        <v>119</v>
      </c>
      <c r="E6" t="s">
        <v>552</v>
      </c>
      <c r="J6" t="s">
        <v>120</v>
      </c>
      <c r="M6" s="2" t="str">
        <f>IF(J6="","",VLOOKUP(J6,[1]ISO辞書!A:B,2,FALSE))</f>
        <v>LBN</v>
      </c>
      <c r="N6" s="2" t="str">
        <f>IF(K6="","",VLOOKUP(K6,[1]ISO辞書!A:B,2,FALSE))</f>
        <v/>
      </c>
      <c r="O6" s="2" t="str">
        <f>IF(L6="","",VLOOKUP(L6,[1]ISO辞書!A:B,2,FALSE))</f>
        <v/>
      </c>
      <c r="P6" s="3" t="str">
        <f t="shared" si="0"/>
        <v>LBN</v>
      </c>
      <c r="Q6" s="6" t="s">
        <v>553</v>
      </c>
      <c r="R6" t="s">
        <v>55</v>
      </c>
      <c r="S6" s="1">
        <v>46104</v>
      </c>
      <c r="T6" t="s">
        <v>121</v>
      </c>
      <c r="U6" s="4" t="s">
        <v>122</v>
      </c>
      <c r="V6">
        <v>4</v>
      </c>
    </row>
    <row r="7" spans="1:22">
      <c r="A7" s="2" t="str">
        <f>IF(C7="","",VLOOKUP(C7,[1]ISO辞書!A:C,2,FALSE))</f>
        <v>ITA</v>
      </c>
      <c r="B7" s="3" t="str">
        <f>IF(C7="","",VLOOKUP(C7,[1]ISO辞書!A:C,3,FALSE))</f>
        <v>Italy</v>
      </c>
      <c r="C7" t="s">
        <v>126</v>
      </c>
      <c r="D7" t="s">
        <v>127</v>
      </c>
      <c r="E7" t="s">
        <v>554</v>
      </c>
      <c r="M7" s="2" t="str">
        <f>IF(J7="","",VLOOKUP(J7,[1]ISO辞書!A:B,2,FALSE))</f>
        <v/>
      </c>
      <c r="N7" s="2" t="str">
        <f>IF(K7="","",VLOOKUP(K7,[1]ISO辞書!A:B,2,FALSE))</f>
        <v/>
      </c>
      <c r="O7" s="2" t="str">
        <f>IF(L7="","",VLOOKUP(L7,[1]ISO辞書!A:B,2,FALSE))</f>
        <v/>
      </c>
      <c r="P7" s="3" t="str">
        <f t="shared" si="0"/>
        <v/>
      </c>
      <c r="Q7" t="s">
        <v>555</v>
      </c>
      <c r="R7" t="s">
        <v>64</v>
      </c>
      <c r="S7" s="1">
        <v>46104</v>
      </c>
      <c r="T7" t="s">
        <v>121</v>
      </c>
      <c r="U7" s="5" t="s">
        <v>128</v>
      </c>
      <c r="V7">
        <v>5</v>
      </c>
    </row>
    <row r="8" spans="1:22">
      <c r="A8" s="2" t="str">
        <f>IF(C8="","",VLOOKUP(C8,[1]ISO辞書!A:C,2,FALSE))</f>
        <v>JPN</v>
      </c>
      <c r="B8" s="3" t="str">
        <f>IF(C8="","",VLOOKUP(C8,[1]ISO辞書!A:C,3,FALSE))</f>
        <v>Japan</v>
      </c>
      <c r="C8" t="s">
        <v>82</v>
      </c>
      <c r="D8" t="s">
        <v>83</v>
      </c>
      <c r="E8" t="s">
        <v>556</v>
      </c>
      <c r="J8" t="s">
        <v>57</v>
      </c>
      <c r="M8" s="2" t="str">
        <f>IF(J8="","",VLOOKUP(J8,[1]ISO辞書!A:B,2,FALSE))</f>
        <v>CHN</v>
      </c>
      <c r="N8" s="2" t="str">
        <f>IF(K8="","",VLOOKUP(K8,[1]ISO辞書!A:B,2,FALSE))</f>
        <v/>
      </c>
      <c r="O8" s="2" t="str">
        <f>IF(L8="","",VLOOKUP(L8,[1]ISO辞書!A:B,2,FALSE))</f>
        <v/>
      </c>
      <c r="P8" s="3" t="str">
        <f t="shared" si="0"/>
        <v>CHN</v>
      </c>
      <c r="Q8" t="s">
        <v>557</v>
      </c>
      <c r="R8" t="s">
        <v>43</v>
      </c>
      <c r="S8" s="1">
        <v>46105</v>
      </c>
      <c r="T8" t="s">
        <v>23</v>
      </c>
      <c r="U8" t="s">
        <v>84</v>
      </c>
      <c r="V8">
        <v>5</v>
      </c>
    </row>
    <row r="9" spans="1:22">
      <c r="A9" s="2" t="str">
        <f>IF(C9="","",VLOOKUP(C9,[1]ISO辞書!A:C,2,FALSE))</f>
        <v>ISR</v>
      </c>
      <c r="B9" s="3" t="str">
        <f>IF(C9="","",VLOOKUP(C9,[1]ISO辞書!A:C,3,FALSE))</f>
        <v>Israel</v>
      </c>
      <c r="C9" t="s">
        <v>54</v>
      </c>
      <c r="D9" t="s">
        <v>104</v>
      </c>
      <c r="E9" t="s">
        <v>558</v>
      </c>
      <c r="J9" t="s">
        <v>105</v>
      </c>
      <c r="M9" s="2" t="str">
        <f>IF(J9="","",VLOOKUP(J9,[1]ISO辞書!A:B,2,FALSE))</f>
        <v>LBN</v>
      </c>
      <c r="N9" s="2" t="str">
        <f>IF(K9="","",VLOOKUP(K9,[1]ISO辞書!A:B,2,FALSE))</f>
        <v/>
      </c>
      <c r="O9" s="2" t="str">
        <f>IF(L9="","",VLOOKUP(L9,[1]ISO辞書!A:B,2,FALSE))</f>
        <v/>
      </c>
      <c r="P9" s="3" t="str">
        <f t="shared" si="0"/>
        <v>LBN</v>
      </c>
      <c r="Q9" t="s">
        <v>559</v>
      </c>
      <c r="R9" t="s">
        <v>55</v>
      </c>
      <c r="S9" s="1">
        <v>46105</v>
      </c>
      <c r="T9" t="s">
        <v>23</v>
      </c>
      <c r="U9" t="s">
        <v>106</v>
      </c>
      <c r="V9">
        <v>5</v>
      </c>
    </row>
    <row r="10" spans="1:22">
      <c r="A10" s="2" t="str">
        <f>IF(C10="","",VLOOKUP(C10,[1]ISO辞書!A:C,2,FALSE))</f>
        <v>EU</v>
      </c>
      <c r="B10" s="3" t="str">
        <f>IF(C10="","",VLOOKUP(C10,[1]ISO辞書!A:C,3,FALSE))</f>
        <v>EU</v>
      </c>
      <c r="C10" t="s">
        <v>37</v>
      </c>
      <c r="D10" t="s">
        <v>115</v>
      </c>
      <c r="E10" t="s">
        <v>560</v>
      </c>
      <c r="J10" t="s">
        <v>116</v>
      </c>
      <c r="M10" s="2" t="str">
        <f>IF(J10="","",VLOOKUP(J10,[1]ISO辞書!A:B,2,FALSE))</f>
        <v>AUS</v>
      </c>
      <c r="N10" s="2" t="str">
        <f>IF(K10="","",VLOOKUP(K10,[1]ISO辞書!A:B,2,FALSE))</f>
        <v/>
      </c>
      <c r="O10" s="2" t="str">
        <f>IF(L10="","",VLOOKUP(L10,[1]ISO辞書!A:B,2,FALSE))</f>
        <v/>
      </c>
      <c r="P10" s="3" t="str">
        <f t="shared" si="0"/>
        <v>AUS</v>
      </c>
      <c r="Q10" t="s">
        <v>561</v>
      </c>
      <c r="R10" t="s">
        <v>35</v>
      </c>
      <c r="S10" s="1">
        <v>46105</v>
      </c>
      <c r="T10" t="s">
        <v>23</v>
      </c>
      <c r="U10" t="s">
        <v>117</v>
      </c>
      <c r="V10">
        <v>5</v>
      </c>
    </row>
    <row r="11" spans="1:22">
      <c r="A11" s="2" t="str">
        <f>IF(C11="","",VLOOKUP(C11,[1]ISO辞書!A:C,2,FALSE))</f>
        <v>MEX</v>
      </c>
      <c r="B11" s="3" t="str">
        <f>IF(C11="","",VLOOKUP(C11,[1]ISO辞書!A:C,3,FALSE))</f>
        <v>Mexico</v>
      </c>
      <c r="C11" t="s">
        <v>41</v>
      </c>
      <c r="D11" t="s">
        <v>42</v>
      </c>
      <c r="E11" t="s">
        <v>562</v>
      </c>
      <c r="J11" t="s">
        <v>28</v>
      </c>
      <c r="M11" s="2" t="str">
        <f>IF(J11="","",VLOOKUP(J11,[1]ISO辞書!A:B,2,FALSE))</f>
        <v>CUB</v>
      </c>
      <c r="N11" s="2" t="str">
        <f>IF(K11="","",VLOOKUP(K11,[1]ISO辞書!A:B,2,FALSE))</f>
        <v/>
      </c>
      <c r="O11" s="2" t="str">
        <f>IF(L11="","",VLOOKUP(L11,[1]ISO辞書!A:B,2,FALSE))</f>
        <v/>
      </c>
      <c r="P11" s="3" t="str">
        <f t="shared" si="0"/>
        <v>CUB</v>
      </c>
      <c r="R11" t="s">
        <v>43</v>
      </c>
      <c r="S11" s="1">
        <v>46106</v>
      </c>
      <c r="T11" t="s">
        <v>23</v>
      </c>
      <c r="U11" t="s">
        <v>44</v>
      </c>
      <c r="V11">
        <v>2</v>
      </c>
    </row>
    <row r="12" spans="1:22">
      <c r="A12" s="2" t="str">
        <f>IF(C12="","",VLOOKUP(C12,[1]ISO辞書!A:C,2,FALSE))</f>
        <v>CYP</v>
      </c>
      <c r="B12" s="3" t="str">
        <f>IF(C12="","",VLOOKUP(C12,[1]ISO辞書!A:C,3,FALSE))</f>
        <v>Cyprus</v>
      </c>
      <c r="C12" t="s">
        <v>94</v>
      </c>
      <c r="D12" t="s">
        <v>95</v>
      </c>
      <c r="E12" t="s">
        <v>563</v>
      </c>
      <c r="J12" t="s">
        <v>96</v>
      </c>
      <c r="M12" s="2" t="str">
        <f>IF(J12="","",VLOOKUP(J12,[1]ISO辞書!A:B,2,FALSE))</f>
        <v>GBR</v>
      </c>
      <c r="N12" s="2" t="str">
        <f>IF(K12="","",VLOOKUP(K12,[1]ISO辞書!A:B,2,FALSE))</f>
        <v/>
      </c>
      <c r="O12" s="2" t="str">
        <f>IF(L12="","",VLOOKUP(L12,[1]ISO辞書!A:B,2,FALSE))</f>
        <v/>
      </c>
      <c r="P12" s="3" t="str">
        <f t="shared" si="0"/>
        <v>GBR</v>
      </c>
      <c r="Q12" t="s">
        <v>564</v>
      </c>
      <c r="R12" t="s">
        <v>60</v>
      </c>
      <c r="S12" s="1">
        <v>46106</v>
      </c>
      <c r="T12" t="s">
        <v>23</v>
      </c>
      <c r="U12" t="s">
        <v>97</v>
      </c>
      <c r="V12">
        <v>4</v>
      </c>
    </row>
    <row r="13" spans="1:22">
      <c r="A13" s="2" t="str">
        <f>IF(C13="","",VLOOKUP(C13,[1]ISO辞書!A:C,2,FALSE))</f>
        <v>DNK</v>
      </c>
      <c r="B13" s="3" t="str">
        <f>IF(C13="","",VLOOKUP(C13,[1]ISO辞書!A:C,3,FALSE))</f>
        <v>Denmark</v>
      </c>
      <c r="C13" t="s">
        <v>98</v>
      </c>
      <c r="D13" t="s">
        <v>565</v>
      </c>
      <c r="E13" s="2" t="s">
        <v>566</v>
      </c>
      <c r="M13" s="2" t="str">
        <f>IF(J13="","",VLOOKUP(J13,[1]ISO辞書!A:B,2,FALSE))</f>
        <v/>
      </c>
      <c r="N13" s="2" t="str">
        <f>IF(K13="","",VLOOKUP(K13,[1]ISO辞書!A:B,2,FALSE))</f>
        <v/>
      </c>
      <c r="O13" s="2" t="str">
        <f>IF(L13="","",VLOOKUP(L13,[1]ISO辞書!A:B,2,FALSE))</f>
        <v/>
      </c>
      <c r="P13" s="3" t="str">
        <f t="shared" si="0"/>
        <v/>
      </c>
      <c r="Q13" t="s">
        <v>567</v>
      </c>
      <c r="R13" t="s">
        <v>64</v>
      </c>
      <c r="S13" s="1">
        <v>46106</v>
      </c>
      <c r="T13" t="s">
        <v>23</v>
      </c>
      <c r="U13" t="s">
        <v>99</v>
      </c>
      <c r="V13">
        <v>3</v>
      </c>
    </row>
    <row r="14" spans="1:22">
      <c r="A14" s="2" t="str">
        <f>IF(C14="","",VLOOKUP(C14,[1]ISO辞書!A:C,2,FALSE))</f>
        <v>GBR</v>
      </c>
      <c r="B14" s="3" t="str">
        <f>IF(C14="","",VLOOKUP(C14,[1]ISO辞書!A:C,3,FALSE))</f>
        <v>Britain</v>
      </c>
      <c r="C14" t="s">
        <v>96</v>
      </c>
      <c r="D14" t="s">
        <v>569</v>
      </c>
      <c r="E14" t="s">
        <v>568</v>
      </c>
      <c r="J14" t="s">
        <v>107</v>
      </c>
      <c r="M14" s="2" t="str">
        <f>IF(J14="","",VLOOKUP(J14,[1]ISO辞書!A:B,2,FALSE))</f>
        <v>TUR</v>
      </c>
      <c r="N14" s="2" t="str">
        <f>IF(K14="","",VLOOKUP(K14,[1]ISO辞書!A:B,2,FALSE))</f>
        <v/>
      </c>
      <c r="O14" s="2" t="str">
        <f>IF(L14="","",VLOOKUP(L14,[1]ISO辞書!A:B,2,FALSE))</f>
        <v/>
      </c>
      <c r="P14" s="3" t="str">
        <f t="shared" si="0"/>
        <v>TUR</v>
      </c>
      <c r="Q14" t="s">
        <v>570</v>
      </c>
      <c r="R14" t="s">
        <v>60</v>
      </c>
      <c r="S14" s="1">
        <v>46106</v>
      </c>
      <c r="T14" t="s">
        <v>23</v>
      </c>
      <c r="U14" t="s">
        <v>108</v>
      </c>
      <c r="V14">
        <v>4</v>
      </c>
    </row>
    <row r="15" spans="1:22">
      <c r="A15" s="2" t="str">
        <f>IF(C15="","",VLOOKUP(C15,[1]ISO辞書!A:C,2,FALSE))</f>
        <v>KEN</v>
      </c>
      <c r="B15" s="3" t="str">
        <f>IF(C15="","",VLOOKUP(C15,[1]ISO辞書!A:C,3,FALSE))</f>
        <v>Kenya</v>
      </c>
      <c r="C15" t="s">
        <v>112</v>
      </c>
      <c r="D15" t="s">
        <v>113</v>
      </c>
      <c r="E15" t="s">
        <v>571</v>
      </c>
      <c r="J15" t="s">
        <v>57</v>
      </c>
      <c r="M15" s="2" t="str">
        <f>IF(J15="","",VLOOKUP(J15,[1]ISO辞書!A:B,2,FALSE))</f>
        <v>CHN</v>
      </c>
      <c r="N15" s="2" t="str">
        <f>IF(K15="","",VLOOKUP(K15,[1]ISO辞書!A:B,2,FALSE))</f>
        <v/>
      </c>
      <c r="O15" s="2" t="str">
        <f>IF(L15="","",VLOOKUP(L15,[1]ISO辞書!A:B,2,FALSE))</f>
        <v/>
      </c>
      <c r="P15" s="3" t="str">
        <f t="shared" si="0"/>
        <v>CHN</v>
      </c>
      <c r="Q15" t="s">
        <v>572</v>
      </c>
      <c r="R15" t="s">
        <v>35</v>
      </c>
      <c r="S15" s="1">
        <v>46106</v>
      </c>
      <c r="T15" t="s">
        <v>23</v>
      </c>
      <c r="U15" t="s">
        <v>114</v>
      </c>
      <c r="V15">
        <v>3</v>
      </c>
    </row>
    <row r="16" spans="1:22">
      <c r="A16" s="2" t="str">
        <f>IF(C16="","",VLOOKUP(C16,[1]ISO辞書!A:C,2,FALSE))</f>
        <v>USA</v>
      </c>
      <c r="B16" s="3" t="str">
        <f>IF(C16="","",VLOOKUP(C16,[1]ISO辞書!A:C,3,FALSE))</f>
        <v>America</v>
      </c>
      <c r="C16" t="s">
        <v>25</v>
      </c>
      <c r="D16" t="s">
        <v>45</v>
      </c>
      <c r="E16" t="s">
        <v>573</v>
      </c>
      <c r="J16" t="s">
        <v>46</v>
      </c>
      <c r="M16" s="2" t="str">
        <f>IF(J16="","",VLOOKUP(J16,[1]ISO辞書!A:B,2,FALSE))</f>
        <v>VEN</v>
      </c>
      <c r="N16" s="2" t="str">
        <f>IF(K16="","",VLOOKUP(K16,[1]ISO辞書!A:B,2,FALSE))</f>
        <v/>
      </c>
      <c r="O16" s="2" t="str">
        <f>IF(L16="","",VLOOKUP(L16,[1]ISO辞書!A:B,2,FALSE))</f>
        <v/>
      </c>
      <c r="P16" s="3" t="str">
        <f t="shared" si="0"/>
        <v>VEN</v>
      </c>
      <c r="Q16" t="s">
        <v>574</v>
      </c>
      <c r="R16" t="s">
        <v>43</v>
      </c>
      <c r="S16" s="1">
        <v>46107</v>
      </c>
      <c r="T16" t="s">
        <v>23</v>
      </c>
      <c r="U16" t="s">
        <v>47</v>
      </c>
      <c r="V16">
        <v>3</v>
      </c>
    </row>
    <row r="17" spans="1:22">
      <c r="A17" s="2" t="str">
        <f>IF(C17="","",VLOOKUP(C17,[1]ISO辞書!A:C,2,FALSE))</f>
        <v>PAK</v>
      </c>
      <c r="B17" s="3" t="str">
        <f>IF(C17="","",VLOOKUP(C17,[1]ISO辞書!A:C,3,FALSE))</f>
        <v>Pakistan</v>
      </c>
      <c r="C17" t="s">
        <v>74</v>
      </c>
      <c r="D17" t="s">
        <v>75</v>
      </c>
      <c r="E17" t="s">
        <v>575</v>
      </c>
      <c r="J17" t="s">
        <v>76</v>
      </c>
      <c r="M17" s="2" t="str">
        <f>IF(J17="","",VLOOKUP(J17,[1]ISO辞書!A:B,2,FALSE))</f>
        <v>AFG</v>
      </c>
      <c r="N17" s="2" t="str">
        <f>IF(K17="","",VLOOKUP(K17,[1]ISO辞書!A:B,2,FALSE))</f>
        <v/>
      </c>
      <c r="O17" s="2" t="str">
        <f>IF(L17="","",VLOOKUP(L17,[1]ISO辞書!A:B,2,FALSE))</f>
        <v/>
      </c>
      <c r="P17" s="3" t="str">
        <f t="shared" si="0"/>
        <v>AFG</v>
      </c>
      <c r="Q17" t="s">
        <v>576</v>
      </c>
      <c r="R17" t="s">
        <v>55</v>
      </c>
      <c r="S17" s="1">
        <v>46107</v>
      </c>
      <c r="T17" t="s">
        <v>23</v>
      </c>
      <c r="U17" t="s">
        <v>77</v>
      </c>
      <c r="V17">
        <v>5</v>
      </c>
    </row>
    <row r="18" spans="1:22">
      <c r="A18" s="2" t="str">
        <f>IF(C18="","",VLOOKUP(C18,[1]ISO辞書!A:C,2,FALSE))</f>
        <v>USA</v>
      </c>
      <c r="B18" s="3" t="str">
        <f>IF(C18="","",VLOOKUP(C18,[1]ISO辞書!A:C,3,FALSE))</f>
        <v>America</v>
      </c>
      <c r="C18" t="s">
        <v>25</v>
      </c>
      <c r="D18" t="s">
        <v>78</v>
      </c>
      <c r="E18" t="s">
        <v>577</v>
      </c>
      <c r="J18" t="s">
        <v>53</v>
      </c>
      <c r="M18" s="2" t="str">
        <f>IF(J18="","",VLOOKUP(J18,[1]ISO辞書!A:B,2,FALSE))</f>
        <v>IRN</v>
      </c>
      <c r="N18" s="2" t="str">
        <f>IF(K18="","",VLOOKUP(K18,[1]ISO辞書!A:B,2,FALSE))</f>
        <v/>
      </c>
      <c r="O18" s="2" t="str">
        <f>IF(L18="","",VLOOKUP(L18,[1]ISO辞書!A:B,2,FALSE))</f>
        <v/>
      </c>
      <c r="P18" s="3" t="str">
        <f t="shared" si="0"/>
        <v>IRN</v>
      </c>
      <c r="Q18" t="s">
        <v>578</v>
      </c>
      <c r="R18" t="s">
        <v>55</v>
      </c>
      <c r="S18" s="1">
        <v>46107</v>
      </c>
      <c r="T18" t="s">
        <v>23</v>
      </c>
      <c r="U18" t="s">
        <v>79</v>
      </c>
      <c r="V18">
        <v>5</v>
      </c>
    </row>
    <row r="19" spans="1:22">
      <c r="A19" s="2" t="str">
        <f>IF(C19="","",VLOOKUP(C19,[1]ISO辞書!A:C,2,FALSE))</f>
        <v>IRN</v>
      </c>
      <c r="B19" s="3" t="str">
        <f>IF(C19="","",VLOOKUP(C19,[1]ISO辞書!A:C,3,FALSE))</f>
        <v>Iran</v>
      </c>
      <c r="C19" t="s">
        <v>53</v>
      </c>
      <c r="D19" t="s">
        <v>80</v>
      </c>
      <c r="E19" t="s">
        <v>579</v>
      </c>
      <c r="J19" t="s">
        <v>25</v>
      </c>
      <c r="K19" t="s">
        <v>74</v>
      </c>
      <c r="M19" s="2" t="str">
        <f>IF(J19="","",VLOOKUP(J19,[1]ISO辞書!A:B,2,FALSE))</f>
        <v>USA</v>
      </c>
      <c r="N19" s="2" t="str">
        <f>IF(K19="","",VLOOKUP(K19,[1]ISO辞書!A:B,2,FALSE))</f>
        <v>PAK</v>
      </c>
      <c r="O19" s="2" t="str">
        <f>IF(L19="","",VLOOKUP(L19,[1]ISO辞書!A:B,2,FALSE))</f>
        <v/>
      </c>
      <c r="P19" s="3" t="str">
        <f t="shared" si="0"/>
        <v>USA;PAK</v>
      </c>
      <c r="Q19" t="s">
        <v>580</v>
      </c>
      <c r="R19" t="s">
        <v>55</v>
      </c>
      <c r="S19" s="1">
        <v>46107</v>
      </c>
      <c r="T19" t="s">
        <v>23</v>
      </c>
      <c r="U19" t="s">
        <v>81</v>
      </c>
      <c r="V19">
        <v>5</v>
      </c>
    </row>
    <row r="20" spans="1:22">
      <c r="A20" s="2" t="str">
        <f>IF(C20="","",VLOOKUP(C20,[1]ISO辞書!A:C,2,FALSE))</f>
        <v>UKR</v>
      </c>
      <c r="B20" s="3" t="str">
        <f>IF(C20="","",VLOOKUP(C20,[1]ISO辞書!A:C,3,FALSE))</f>
        <v>Ukraine</v>
      </c>
      <c r="C20" t="s">
        <v>87</v>
      </c>
      <c r="D20" t="s">
        <v>91</v>
      </c>
      <c r="E20" t="s">
        <v>581</v>
      </c>
      <c r="J20" t="s">
        <v>92</v>
      </c>
      <c r="M20" s="2" t="str">
        <f>IF(J20="","",VLOOKUP(J20,[1]ISO辞書!A:B,2,FALSE))</f>
        <v>RUS</v>
      </c>
      <c r="N20" s="2" t="str">
        <f>IF(K20="","",VLOOKUP(K20,[1]ISO辞書!A:B,2,FALSE))</f>
        <v/>
      </c>
      <c r="O20" s="2" t="str">
        <f>IF(L20="","",VLOOKUP(L20,[1]ISO辞書!A:B,2,FALSE))</f>
        <v/>
      </c>
      <c r="P20" s="3" t="str">
        <f t="shared" si="0"/>
        <v>RUS</v>
      </c>
      <c r="Q20" t="s">
        <v>582</v>
      </c>
      <c r="R20" t="s">
        <v>55</v>
      </c>
      <c r="S20" s="1">
        <v>46107</v>
      </c>
      <c r="T20" t="s">
        <v>23</v>
      </c>
      <c r="U20" t="s">
        <v>93</v>
      </c>
      <c r="V20">
        <v>5</v>
      </c>
    </row>
    <row r="21" spans="1:22">
      <c r="A21" s="2" t="str">
        <f>IF(C21="","",VLOOKUP(C21,[1]ISO辞書!A:C,2,FALSE))</f>
        <v>USA</v>
      </c>
      <c r="B21" s="3" t="str">
        <f>IF(C21="","",VLOOKUP(C21,[1]ISO辞書!A:C,3,FALSE))</f>
        <v>America</v>
      </c>
      <c r="C21" t="s">
        <v>25</v>
      </c>
      <c r="D21" t="s">
        <v>26</v>
      </c>
      <c r="E21" t="s">
        <v>27</v>
      </c>
      <c r="J21" t="s">
        <v>28</v>
      </c>
      <c r="M21" s="2" t="str">
        <f>IF(J21="","",VLOOKUP(J21,[1]ISO辞書!A:B,2,FALSE))</f>
        <v>CUB</v>
      </c>
      <c r="N21" s="2" t="str">
        <f>IF(K21="","",VLOOKUP(K21,[1]ISO辞書!A:B,2,FALSE))</f>
        <v/>
      </c>
      <c r="O21" s="2" t="str">
        <f>IF(L21="","",VLOOKUP(L21,[1]ISO辞書!A:B,2,FALSE))</f>
        <v/>
      </c>
      <c r="P21" s="3" t="str">
        <f t="shared" si="0"/>
        <v>CUB</v>
      </c>
      <c r="Q21" t="s">
        <v>583</v>
      </c>
      <c r="R21" t="s">
        <v>22</v>
      </c>
      <c r="S21" s="1">
        <v>46108</v>
      </c>
      <c r="T21" t="s">
        <v>23</v>
      </c>
      <c r="U21" t="s">
        <v>29</v>
      </c>
      <c r="V21">
        <v>4</v>
      </c>
    </row>
    <row r="22" spans="1:22">
      <c r="A22" s="2" t="str">
        <f>IF(C22="","",VLOOKUP(C22,[1]ISO辞書!A:C,2,FALSE))</f>
        <v>CAN</v>
      </c>
      <c r="B22" s="3" t="str">
        <f>IF(C22="","",VLOOKUP(C22,[1]ISO辞書!A:C,3,FALSE))</f>
        <v>Canada</v>
      </c>
      <c r="C22" t="s">
        <v>30</v>
      </c>
      <c r="D22" t="s">
        <v>31</v>
      </c>
      <c r="E22" t="s">
        <v>584</v>
      </c>
      <c r="J22" t="s">
        <v>32</v>
      </c>
      <c r="K22" t="s">
        <v>33</v>
      </c>
      <c r="L22" t="s">
        <v>34</v>
      </c>
      <c r="M22" s="2" t="str">
        <f>IF(J22="","",VLOOKUP(J22,[1]ISO辞書!A:B,2,FALSE))</f>
        <v>BRA</v>
      </c>
      <c r="N22" s="2" t="str">
        <f>IF(K22="","",VLOOKUP(K22,[1]ISO辞書!A:B,2,FALSE))</f>
        <v>ARG</v>
      </c>
      <c r="O22" s="2" t="str">
        <f>IF(L22="","",VLOOKUP(L22,[1]ISO辞書!A:B,2,FALSE))</f>
        <v>PRY</v>
      </c>
      <c r="P22" s="3" t="str">
        <f t="shared" si="0"/>
        <v>BRA;ARG;PRY</v>
      </c>
      <c r="Q22" t="s">
        <v>585</v>
      </c>
      <c r="R22" t="s">
        <v>35</v>
      </c>
      <c r="S22" s="1">
        <v>46108</v>
      </c>
      <c r="T22" t="s">
        <v>23</v>
      </c>
      <c r="U22" t="s">
        <v>36</v>
      </c>
      <c r="V22">
        <v>4</v>
      </c>
    </row>
    <row r="23" spans="1:22">
      <c r="A23" s="2" t="str">
        <f>IF(C23="","",VLOOKUP(C23,[1]ISO辞書!A:C,2,FALSE))</f>
        <v>EU</v>
      </c>
      <c r="B23" s="3" t="str">
        <f>IF(C23="","",VLOOKUP(C23,[1]ISO辞書!A:C,3,FALSE))</f>
        <v>EU</v>
      </c>
      <c r="C23" t="s">
        <v>37</v>
      </c>
      <c r="D23" t="s">
        <v>38</v>
      </c>
      <c r="E23" s="2" t="s">
        <v>586</v>
      </c>
      <c r="J23" t="s">
        <v>39</v>
      </c>
      <c r="M23" s="2" t="str">
        <f>IF(J23="","",VLOOKUP(J23,[1]ISO辞書!A:B,2,FALSE))</f>
        <v>CPTPP</v>
      </c>
      <c r="N23" s="2" t="str">
        <f>IF(K23="","",VLOOKUP(K23,[1]ISO辞書!A:B,2,FALSE))</f>
        <v/>
      </c>
      <c r="O23" s="2" t="str">
        <f>IF(L23="","",VLOOKUP(L23,[1]ISO辞書!A:B,2,FALSE))</f>
        <v/>
      </c>
      <c r="P23" s="3" t="str">
        <f t="shared" si="0"/>
        <v>CPTPP</v>
      </c>
      <c r="Q23" t="s">
        <v>587</v>
      </c>
      <c r="R23" t="s">
        <v>35</v>
      </c>
      <c r="S23" s="1">
        <v>46108</v>
      </c>
      <c r="T23" t="s">
        <v>23</v>
      </c>
      <c r="U23" t="s">
        <v>40</v>
      </c>
      <c r="V23">
        <v>5</v>
      </c>
    </row>
    <row r="24" spans="1:22">
      <c r="A24" s="2" t="str">
        <f>IF(C24="","",VLOOKUP(C24,[1]ISO辞書!A:C,2,FALSE))</f>
        <v>NPL</v>
      </c>
      <c r="B24" s="3" t="str">
        <f>IF(C24="","",VLOOKUP(C24,[1]ISO辞書!A:C,3,FALSE))</f>
        <v>Nepal</v>
      </c>
      <c r="C24" t="s">
        <v>62</v>
      </c>
      <c r="D24" t="s">
        <v>63</v>
      </c>
      <c r="E24" t="s">
        <v>588</v>
      </c>
      <c r="M24" s="2" t="str">
        <f>IF(J24="","",VLOOKUP(J24,[1]ISO辞書!A:B,2,FALSE))</f>
        <v/>
      </c>
      <c r="N24" s="2" t="str">
        <f>IF(K24="","",VLOOKUP(K24,[1]ISO辞書!A:B,2,FALSE))</f>
        <v/>
      </c>
      <c r="O24" s="2" t="str">
        <f>IF(L24="","",VLOOKUP(L24,[1]ISO辞書!A:B,2,FALSE))</f>
        <v/>
      </c>
      <c r="P24" s="3" t="str">
        <f t="shared" si="0"/>
        <v/>
      </c>
      <c r="Q24" t="s">
        <v>589</v>
      </c>
      <c r="R24" t="s">
        <v>65</v>
      </c>
      <c r="S24" s="1">
        <v>46108</v>
      </c>
      <c r="T24" t="s">
        <v>23</v>
      </c>
      <c r="U24" t="s">
        <v>66</v>
      </c>
      <c r="V24">
        <v>2</v>
      </c>
    </row>
    <row r="25" spans="1:22">
      <c r="A25" s="2" t="str">
        <f>IF(C25="","",VLOOKUP(C25,[1]ISO辞書!A:C,2,FALSE))</f>
        <v>PRK</v>
      </c>
      <c r="B25" s="3" t="str">
        <f>IF(C25="","",VLOOKUP(C25,[1]ISO辞書!A:C,3,FALSE))</f>
        <v>North Korea</v>
      </c>
      <c r="C25" t="s">
        <v>70</v>
      </c>
      <c r="D25" t="s">
        <v>71</v>
      </c>
      <c r="E25" t="s">
        <v>590</v>
      </c>
      <c r="J25" t="s">
        <v>72</v>
      </c>
      <c r="M25" s="2" t="str">
        <f>IF(J25="","",VLOOKUP(J25,[1]ISO辞書!A:B,2,FALSE))</f>
        <v>BLR</v>
      </c>
      <c r="N25" s="2" t="str">
        <f>IF(K25="","",VLOOKUP(K25,[1]ISO辞書!A:B,2,FALSE))</f>
        <v/>
      </c>
      <c r="O25" s="2" t="str">
        <f>IF(L25="","",VLOOKUP(L25,[1]ISO辞書!A:B,2,FALSE))</f>
        <v/>
      </c>
      <c r="P25" s="3" t="str">
        <f t="shared" si="0"/>
        <v>BLR</v>
      </c>
      <c r="Q25" t="s">
        <v>591</v>
      </c>
      <c r="R25" t="s">
        <v>43</v>
      </c>
      <c r="S25" s="1">
        <v>46108</v>
      </c>
      <c r="T25" t="s">
        <v>23</v>
      </c>
      <c r="U25" t="s">
        <v>73</v>
      </c>
      <c r="V25">
        <v>5</v>
      </c>
    </row>
    <row r="26" spans="1:22">
      <c r="A26" s="2" t="str">
        <f>IF(C26="","",VLOOKUP(C26,[1]ISO辞書!A:C,2,FALSE))</f>
        <v>UKR</v>
      </c>
      <c r="B26" s="3" t="str">
        <f>IF(C26="","",VLOOKUP(C26,[1]ISO辞書!A:C,3,FALSE))</f>
        <v>Ukraine</v>
      </c>
      <c r="C26" t="s">
        <v>87</v>
      </c>
      <c r="D26" t="s">
        <v>88</v>
      </c>
      <c r="E26" t="s">
        <v>592</v>
      </c>
      <c r="J26" t="s">
        <v>89</v>
      </c>
      <c r="M26" s="2" t="str">
        <f>IF(J26="","",VLOOKUP(J26,[1]ISO辞書!A:B,2,FALSE))</f>
        <v>SAU</v>
      </c>
      <c r="N26" s="2" t="str">
        <f>IF(K26="","",VLOOKUP(K26,[1]ISO辞書!A:B,2,FALSE))</f>
        <v/>
      </c>
      <c r="O26" s="2" t="str">
        <f>IF(L26="","",VLOOKUP(L26,[1]ISO辞書!A:B,2,FALSE))</f>
        <v/>
      </c>
      <c r="P26" s="3" t="str">
        <f t="shared" si="0"/>
        <v>SAU</v>
      </c>
      <c r="Q26" t="s">
        <v>593</v>
      </c>
      <c r="R26" t="s">
        <v>60</v>
      </c>
      <c r="S26" s="1">
        <v>46108</v>
      </c>
      <c r="T26" t="s">
        <v>23</v>
      </c>
      <c r="U26" t="s">
        <v>90</v>
      </c>
      <c r="V26">
        <v>5</v>
      </c>
    </row>
    <row r="27" spans="1:22">
      <c r="A27" s="2" t="str">
        <f>IF(C27="","",VLOOKUP(C27,[1]ISO辞書!A:C,2,FALSE))</f>
        <v>COD</v>
      </c>
      <c r="B27" s="3" t="str">
        <f>IF(C27="","",VLOOKUP(C27,[1]ISO辞書!A:C,3,FALSE))</f>
        <v>Democratic Republic of the Congo</v>
      </c>
      <c r="C27" t="s">
        <v>109</v>
      </c>
      <c r="D27" t="s">
        <v>110</v>
      </c>
      <c r="E27" t="s">
        <v>594</v>
      </c>
      <c r="J27" t="s">
        <v>57</v>
      </c>
      <c r="M27" s="2" t="str">
        <f>IF(J27="","",VLOOKUP(J27,[1]ISO辞書!A:B,2,FALSE))</f>
        <v>CHN</v>
      </c>
      <c r="N27" s="2" t="str">
        <f>IF(K27="","",VLOOKUP(K27,[1]ISO辞書!A:B,2,FALSE))</f>
        <v/>
      </c>
      <c r="O27" s="2" t="str">
        <f>IF(L27="","",VLOOKUP(L27,[1]ISO辞書!A:B,2,FALSE))</f>
        <v/>
      </c>
      <c r="P27" s="3" t="str">
        <f t="shared" si="0"/>
        <v>CHN</v>
      </c>
      <c r="Q27" t="s">
        <v>595</v>
      </c>
      <c r="R27" t="s">
        <v>35</v>
      </c>
      <c r="S27" s="1">
        <v>46108</v>
      </c>
      <c r="T27" t="s">
        <v>23</v>
      </c>
      <c r="U27" t="s">
        <v>111</v>
      </c>
      <c r="V27">
        <v>4</v>
      </c>
    </row>
    <row r="28" spans="1:22">
      <c r="A28" s="2" t="str">
        <f>IF(C28="","",VLOOKUP(C28,[1]ISO辞書!A:C,2,FALSE))</f>
        <v>CHN</v>
      </c>
      <c r="B28" s="3" t="str">
        <f>IF(C28="","",VLOOKUP(C28,[1]ISO辞書!A:C,3,FALSE))</f>
        <v>China</v>
      </c>
      <c r="C28" t="s">
        <v>57</v>
      </c>
      <c r="D28" t="s">
        <v>58</v>
      </c>
      <c r="E28" t="s">
        <v>596</v>
      </c>
      <c r="J28" t="s">
        <v>59</v>
      </c>
      <c r="M28" s="2" t="str">
        <f>IF(J28="","",VLOOKUP(J28,[1]ISO辞書!A:B,2,FALSE))</f>
        <v>PHL</v>
      </c>
      <c r="N28" s="2" t="str">
        <f>IF(K28="","",VLOOKUP(K28,[1]ISO辞書!A:B,2,FALSE))</f>
        <v/>
      </c>
      <c r="O28" s="2" t="str">
        <f>IF(L28="","",VLOOKUP(L28,[1]ISO辞書!A:B,2,FALSE))</f>
        <v/>
      </c>
      <c r="P28" s="3" t="str">
        <f t="shared" si="0"/>
        <v>PHL</v>
      </c>
      <c r="Q28" t="s">
        <v>597</v>
      </c>
      <c r="R28" t="s">
        <v>60</v>
      </c>
      <c r="S28" s="1">
        <v>46109</v>
      </c>
      <c r="T28" t="s">
        <v>23</v>
      </c>
      <c r="U28" t="s">
        <v>61</v>
      </c>
      <c r="V28">
        <v>4</v>
      </c>
    </row>
    <row r="29" spans="1:22">
      <c r="A29" s="2" t="str">
        <f>IF(C29="","",VLOOKUP(C29,[1]ISO辞書!A:C,2,FALSE))</f>
        <v>IDN</v>
      </c>
      <c r="B29" s="3" t="str">
        <f>IF(C29="","",VLOOKUP(C29,[1]ISO辞書!A:C,3,FALSE))</f>
        <v>Indonesia</v>
      </c>
      <c r="C29" t="s">
        <v>67</v>
      </c>
      <c r="D29" t="s">
        <v>68</v>
      </c>
      <c r="E29" t="s">
        <v>598</v>
      </c>
      <c r="M29" s="2" t="str">
        <f>IF(J29="","",VLOOKUP(J29,[1]ISO辞書!A:B,2,FALSE))</f>
        <v/>
      </c>
      <c r="N29" s="2" t="str">
        <f>IF(K29="","",VLOOKUP(K29,[1]ISO辞書!A:B,2,FALSE))</f>
        <v/>
      </c>
      <c r="O29" s="2" t="str">
        <f>IF(L29="","",VLOOKUP(L29,[1]ISO辞書!A:B,2,FALSE))</f>
        <v/>
      </c>
      <c r="P29" s="3" t="str">
        <f t="shared" si="0"/>
        <v/>
      </c>
      <c r="Q29" t="s">
        <v>599</v>
      </c>
      <c r="R29" t="s">
        <v>65</v>
      </c>
      <c r="S29" s="1">
        <v>46109</v>
      </c>
      <c r="T29" t="s">
        <v>23</v>
      </c>
      <c r="U29" t="s">
        <v>69</v>
      </c>
      <c r="V29">
        <v>3</v>
      </c>
    </row>
    <row r="30" spans="1:22">
      <c r="A30" s="2" t="str">
        <f>IF(C30="","",VLOOKUP(C30,[1]ISO辞書!A:C,2,FALSE))</f>
        <v>UKR</v>
      </c>
      <c r="B30" s="3" t="str">
        <f>IF(C30="","",VLOOKUP(C30,[1]ISO辞書!A:C,3,FALSE))</f>
        <v>Ukraine</v>
      </c>
      <c r="C30" t="s">
        <v>87</v>
      </c>
      <c r="D30" t="s">
        <v>100</v>
      </c>
      <c r="E30" t="s">
        <v>600</v>
      </c>
      <c r="J30" t="s">
        <v>101</v>
      </c>
      <c r="K30" t="s">
        <v>102</v>
      </c>
      <c r="M30" s="2" t="str">
        <f>IF(J30="","",VLOOKUP(J30,[1]ISO辞書!A:B,2,FALSE))</f>
        <v>ARE</v>
      </c>
      <c r="N30" s="2" t="str">
        <f>IF(K30="","",VLOOKUP(K30,[1]ISO辞書!A:B,2,FALSE))</f>
        <v>QAT</v>
      </c>
      <c r="O30" s="2" t="str">
        <f>IF(L30="","",VLOOKUP(L30,[1]ISO辞書!A:B,2,FALSE))</f>
        <v/>
      </c>
      <c r="P30" s="3" t="str">
        <f t="shared" si="0"/>
        <v>ARE;QAT</v>
      </c>
      <c r="Q30" t="s">
        <v>601</v>
      </c>
      <c r="R30" t="s">
        <v>60</v>
      </c>
      <c r="S30" s="1">
        <v>46109</v>
      </c>
      <c r="T30" t="s">
        <v>23</v>
      </c>
      <c r="U30" t="s">
        <v>103</v>
      </c>
      <c r="V30">
        <v>5</v>
      </c>
    </row>
    <row r="31" spans="1:22">
      <c r="A31" s="2" t="str">
        <f>IF(C31="","",VLOOKUP(C31,[1]ISO辞書!A:C,2,FALSE))</f>
        <v>NPL</v>
      </c>
      <c r="B31" s="3" t="str">
        <f>IF(C31="","",VLOOKUP(C31,[1]ISO辞書!A:C,3,FALSE))</f>
        <v>Nepal</v>
      </c>
      <c r="C31" t="s">
        <v>161</v>
      </c>
      <c r="D31" t="s">
        <v>162</v>
      </c>
      <c r="E31" t="s">
        <v>602</v>
      </c>
      <c r="M31" s="2" t="str">
        <f>IF(J31="","",VLOOKUP(J31,[1]ISO辞書!A:B,2,FALSE))</f>
        <v/>
      </c>
      <c r="N31" s="2" t="str">
        <f>IF(K31="","",VLOOKUP(K31,[1]ISO辞書!A:B,2,FALSE))</f>
        <v/>
      </c>
      <c r="O31" s="2" t="str">
        <f>IF(L31="","",VLOOKUP(L31,[1]ISO辞書!A:B,2,FALSE))</f>
        <v/>
      </c>
      <c r="P31" s="3" t="str">
        <f t="shared" si="0"/>
        <v/>
      </c>
      <c r="R31" t="s">
        <v>64</v>
      </c>
      <c r="S31" s="1">
        <v>46109</v>
      </c>
      <c r="T31" t="s">
        <v>121</v>
      </c>
      <c r="U31" t="s">
        <v>163</v>
      </c>
      <c r="V31">
        <v>2</v>
      </c>
    </row>
    <row r="32" spans="1:22">
      <c r="A32" s="2" t="str">
        <f>IF(C32="","",VLOOKUP(C32,[1]ISO辞書!A:C,2,FALSE))</f>
        <v>YEM</v>
      </c>
      <c r="B32" s="3" t="str">
        <f>IF(C32="","",VLOOKUP(C32,[1]ISO辞書!A:C,3,FALSE))</f>
        <v>Yemen</v>
      </c>
      <c r="C32" t="s">
        <v>51</v>
      </c>
      <c r="D32" t="s">
        <v>52</v>
      </c>
      <c r="E32" t="s">
        <v>603</v>
      </c>
      <c r="J32" t="s">
        <v>53</v>
      </c>
      <c r="K32" t="s">
        <v>25</v>
      </c>
      <c r="L32" t="s">
        <v>54</v>
      </c>
      <c r="M32" s="2" t="str">
        <f>IF(J32="","",VLOOKUP(J32,[1]ISO辞書!A:B,2,FALSE))</f>
        <v>IRN</v>
      </c>
      <c r="N32" s="2" t="str">
        <f>IF(K32="","",VLOOKUP(K32,[1]ISO辞書!A:B,2,FALSE))</f>
        <v>USA</v>
      </c>
      <c r="O32" s="2" t="str">
        <f>IF(L32="","",VLOOKUP(L32,[1]ISO辞書!A:B,2,FALSE))</f>
        <v>ISR</v>
      </c>
      <c r="P32" s="3" t="str">
        <f t="shared" si="0"/>
        <v>IRN;USA;ISR</v>
      </c>
      <c r="Q32" t="s">
        <v>604</v>
      </c>
      <c r="R32" t="s">
        <v>55</v>
      </c>
      <c r="S32" s="1">
        <v>46110</v>
      </c>
      <c r="T32" t="s">
        <v>23</v>
      </c>
      <c r="U32" t="s">
        <v>56</v>
      </c>
      <c r="V32">
        <v>5</v>
      </c>
    </row>
    <row r="33" spans="1:22">
      <c r="A33" s="2" t="str">
        <f>IF(C33="","",VLOOKUP(C33,[1]ISO辞書!A:C,2,FALSE))</f>
        <v>UKR</v>
      </c>
      <c r="B33" s="3" t="str">
        <f>IF(C33="","",VLOOKUP(C33,[1]ISO辞書!A:C,3,FALSE))</f>
        <v>Ukraine</v>
      </c>
      <c r="C33" t="s">
        <v>150</v>
      </c>
      <c r="D33" t="s">
        <v>151</v>
      </c>
      <c r="E33" t="s">
        <v>605</v>
      </c>
      <c r="J33" t="s">
        <v>152</v>
      </c>
      <c r="M33" s="2" t="str">
        <f>IF(J33="","",VLOOKUP(J33,[1]ISO辞書!A:B,2,FALSE))</f>
        <v>JOR</v>
      </c>
      <c r="N33" s="2" t="str">
        <f>IF(K33="","",VLOOKUP(K33,[1]ISO辞書!A:B,2,FALSE))</f>
        <v/>
      </c>
      <c r="O33" s="2" t="str">
        <f>IF(L33="","",VLOOKUP(L33,[1]ISO辞書!A:B,2,FALSE))</f>
        <v/>
      </c>
      <c r="P33" s="3" t="str">
        <f t="shared" si="0"/>
        <v>JOR</v>
      </c>
      <c r="Q33" t="s">
        <v>606</v>
      </c>
      <c r="R33" t="s">
        <v>43</v>
      </c>
      <c r="S33" s="1">
        <v>46110</v>
      </c>
      <c r="T33" t="s">
        <v>121</v>
      </c>
      <c r="U33" t="s">
        <v>153</v>
      </c>
      <c r="V33">
        <v>2</v>
      </c>
    </row>
    <row r="34" spans="1:22">
      <c r="A34" s="2" t="str">
        <f>IF(C34="","",VLOOKUP(C34,[1]ISO辞書!A:C,2,FALSE))</f>
        <v>EGY</v>
      </c>
      <c r="B34" s="3" t="str">
        <f>IF(C34="","",VLOOKUP(C34,[1]ISO辞書!A:C,3,FALSE))</f>
        <v>Egypt</v>
      </c>
      <c r="C34" t="s">
        <v>189</v>
      </c>
      <c r="D34" t="s">
        <v>190</v>
      </c>
      <c r="E34" t="s">
        <v>607</v>
      </c>
      <c r="M34" s="2" t="str">
        <f>IF(J34="","",VLOOKUP(J34,[1]ISO辞書!A:B,2,FALSE))</f>
        <v/>
      </c>
      <c r="N34" s="2" t="str">
        <f>IF(K34="","",VLOOKUP(K34,[1]ISO辞書!A:B,2,FALSE))</f>
        <v/>
      </c>
      <c r="O34" s="2" t="str">
        <f>IF(L34="","",VLOOKUP(L34,[1]ISO辞書!A:B,2,FALSE))</f>
        <v/>
      </c>
      <c r="P34" s="3" t="str">
        <f t="shared" si="0"/>
        <v/>
      </c>
      <c r="Q34" t="s">
        <v>608</v>
      </c>
      <c r="R34" t="s">
        <v>43</v>
      </c>
      <c r="S34" s="1">
        <v>46110</v>
      </c>
      <c r="T34" t="s">
        <v>121</v>
      </c>
      <c r="U34" t="s">
        <v>191</v>
      </c>
      <c r="V34">
        <v>3</v>
      </c>
    </row>
    <row r="35" spans="1:22">
      <c r="A35" s="2" t="str">
        <f>IF(C35="","",VLOOKUP(C35,[1]ISO辞書!A:C,2,FALSE))</f>
        <v>CUB</v>
      </c>
      <c r="B35" s="3" t="str">
        <f>IF(C35="","",VLOOKUP(C35,[1]ISO辞書!A:C,3,FALSE))</f>
        <v>Cuba</v>
      </c>
      <c r="C35" t="s">
        <v>129</v>
      </c>
      <c r="D35" t="s">
        <v>130</v>
      </c>
      <c r="E35" t="s">
        <v>609</v>
      </c>
      <c r="J35" t="s">
        <v>131</v>
      </c>
      <c r="K35" t="s">
        <v>132</v>
      </c>
      <c r="M35" s="2" t="str">
        <f>IF(J35="","",VLOOKUP(J35,[1]ISO辞書!A:B,2,FALSE))</f>
        <v>RUS</v>
      </c>
      <c r="N35" s="2" t="str">
        <f>IF(K35="","",VLOOKUP(K35,[1]ISO辞書!A:B,2,FALSE))</f>
        <v>USA</v>
      </c>
      <c r="O35" s="2" t="str">
        <f>IF(L35="","",VLOOKUP(L35,[1]ISO辞書!A:B,2,FALSE))</f>
        <v/>
      </c>
      <c r="P35" s="3" t="str">
        <f t="shared" si="0"/>
        <v>RUS;USA</v>
      </c>
      <c r="Q35" t="s">
        <v>610</v>
      </c>
      <c r="R35" t="s">
        <v>133</v>
      </c>
      <c r="S35" s="1">
        <v>46111</v>
      </c>
      <c r="T35" t="s">
        <v>134</v>
      </c>
      <c r="U35" s="5" t="s">
        <v>135</v>
      </c>
      <c r="V35">
        <v>3</v>
      </c>
    </row>
    <row r="36" spans="1:22">
      <c r="A36" s="2" t="str">
        <f>IF(C36="","",VLOOKUP(C36,[1]ISO辞書!A:C,2,FALSE))</f>
        <v>LBN</v>
      </c>
      <c r="B36" s="3" t="str">
        <f>IF(C36="","",VLOOKUP(C36,[1]ISO辞書!A:C,3,FALSE))</f>
        <v>Lebanon</v>
      </c>
      <c r="C36" t="s">
        <v>120</v>
      </c>
      <c r="D36" t="s">
        <v>142</v>
      </c>
      <c r="E36" t="s">
        <v>611</v>
      </c>
      <c r="J36" t="s">
        <v>118</v>
      </c>
      <c r="M36" s="2" t="str">
        <f>IF(J36="","",VLOOKUP(J36,[1]ISO辞書!A:B,2,FALSE))</f>
        <v>ISR</v>
      </c>
      <c r="N36" s="2" t="str">
        <f>IF(K36="","",VLOOKUP(K36,[1]ISO辞書!A:B,2,FALSE))</f>
        <v/>
      </c>
      <c r="O36" s="2" t="str">
        <f>IF(L36="","",VLOOKUP(L36,[1]ISO辞書!A:B,2,FALSE))</f>
        <v/>
      </c>
      <c r="P36" s="3" t="str">
        <f t="shared" si="0"/>
        <v>ISR</v>
      </c>
      <c r="Q36" t="s">
        <v>612</v>
      </c>
      <c r="R36" t="s">
        <v>55</v>
      </c>
      <c r="S36" s="1">
        <v>46111</v>
      </c>
      <c r="T36" t="s">
        <v>121</v>
      </c>
      <c r="U36" t="s">
        <v>143</v>
      </c>
      <c r="V36">
        <v>2</v>
      </c>
    </row>
    <row r="37" spans="1:22">
      <c r="A37" s="2" t="str">
        <f>IF(C37="","",VLOOKUP(C37,[1]ISO辞書!A:C,2,FALSE))</f>
        <v>RUS</v>
      </c>
      <c r="B37" s="3" t="str">
        <f>IF(C37="","",VLOOKUP(C37,[1]ISO辞書!A:C,3,FALSE))</f>
        <v>Russian Federation</v>
      </c>
      <c r="C37" t="s">
        <v>131</v>
      </c>
      <c r="D37" t="s">
        <v>154</v>
      </c>
      <c r="E37" t="s">
        <v>613</v>
      </c>
      <c r="J37" t="s">
        <v>144</v>
      </c>
      <c r="M37" s="2" t="str">
        <f>IF(J37="","",VLOOKUP(J37,[1]ISO辞書!A:B,2,FALSE))</f>
        <v>GBR</v>
      </c>
      <c r="N37" s="2" t="str">
        <f>IF(K37="","",VLOOKUP(K37,[1]ISO辞書!A:B,2,FALSE))</f>
        <v/>
      </c>
      <c r="O37" s="2" t="str">
        <f>IF(L37="","",VLOOKUP(L37,[1]ISO辞書!A:B,2,FALSE))</f>
        <v/>
      </c>
      <c r="P37" s="3" t="str">
        <f t="shared" si="0"/>
        <v>GBR</v>
      </c>
      <c r="Q37" t="s">
        <v>614</v>
      </c>
      <c r="R37" t="s">
        <v>43</v>
      </c>
      <c r="S37" s="1">
        <v>46111</v>
      </c>
      <c r="T37" t="s">
        <v>121</v>
      </c>
      <c r="U37" t="s">
        <v>155</v>
      </c>
      <c r="V37">
        <v>2</v>
      </c>
    </row>
    <row r="38" spans="1:22">
      <c r="A38" s="2" t="str">
        <f>IF(C38="","",VLOOKUP(C38,[1]ISO辞書!A:C,2,FALSE))</f>
        <v>AFG</v>
      </c>
      <c r="B38" s="3" t="str">
        <f>IF(C38="","",VLOOKUP(C38,[1]ISO辞書!A:C,3,FALSE))</f>
        <v>Afghanistan</v>
      </c>
      <c r="C38" t="s">
        <v>164</v>
      </c>
      <c r="D38" t="s">
        <v>165</v>
      </c>
      <c r="E38" t="s">
        <v>615</v>
      </c>
      <c r="J38" t="s">
        <v>166</v>
      </c>
      <c r="M38" s="2" t="str">
        <f>IF(J38="","",VLOOKUP(J38,[1]ISO辞書!A:B,2,FALSE))</f>
        <v>PAK</v>
      </c>
      <c r="N38" s="2" t="str">
        <f>IF(K38="","",VLOOKUP(K38,[1]ISO辞書!A:B,2,FALSE))</f>
        <v/>
      </c>
      <c r="O38" s="2" t="str">
        <f>IF(L38="","",VLOOKUP(L38,[1]ISO辞書!A:B,2,FALSE))</f>
        <v/>
      </c>
      <c r="P38" s="3" t="str">
        <f t="shared" si="0"/>
        <v>PAK</v>
      </c>
      <c r="R38" t="s">
        <v>167</v>
      </c>
      <c r="S38" s="1">
        <v>46111</v>
      </c>
      <c r="T38" t="s">
        <v>121</v>
      </c>
      <c r="U38" t="s">
        <v>168</v>
      </c>
      <c r="V38">
        <v>1</v>
      </c>
    </row>
    <row r="39" spans="1:22">
      <c r="A39" s="2" t="str">
        <f>IF(C39="","",VLOOKUP(C39,[1]ISO辞書!A:C,2,FALSE))</f>
        <v>XKK</v>
      </c>
      <c r="B39" s="3" t="str">
        <f>IF(C39="","",VLOOKUP(C39,[1]ISO辞書!A:C,3,FALSE))</f>
        <v>Kosovo</v>
      </c>
      <c r="C39" t="s">
        <v>169</v>
      </c>
      <c r="D39" t="s">
        <v>170</v>
      </c>
      <c r="E39" t="s">
        <v>616</v>
      </c>
      <c r="J39" t="s">
        <v>132</v>
      </c>
      <c r="K39" t="s">
        <v>118</v>
      </c>
      <c r="L39" t="s">
        <v>171</v>
      </c>
      <c r="M39" s="2" t="str">
        <f>IF(J39="","",VLOOKUP(J39,[1]ISO辞書!A:B,2,FALSE))</f>
        <v>USA</v>
      </c>
      <c r="N39" s="2" t="str">
        <f>IF(K39="","",VLOOKUP(K39,[1]ISO辞書!A:B,2,FALSE))</f>
        <v>ISR</v>
      </c>
      <c r="O39" s="2" t="str">
        <f>IF(L39="","",VLOOKUP(L39,[1]ISO辞書!A:B,2,FALSE))</f>
        <v>PSE</v>
      </c>
      <c r="P39" s="3" t="str">
        <f t="shared" si="0"/>
        <v>USA;ISR;PSE</v>
      </c>
      <c r="R39" t="s">
        <v>55</v>
      </c>
      <c r="S39" s="1">
        <v>46111</v>
      </c>
      <c r="T39" t="s">
        <v>121</v>
      </c>
      <c r="U39" t="s">
        <v>172</v>
      </c>
      <c r="V39">
        <v>2</v>
      </c>
    </row>
    <row r="40" spans="1:22">
      <c r="A40" s="2" t="str">
        <f>IF(C40="","",VLOOKUP(C40,[1]ISO辞書!A:C,2,FALSE))</f>
        <v>PAK</v>
      </c>
      <c r="B40" s="3" t="str">
        <f>IF(C40="","",VLOOKUP(C40,[1]ISO辞書!A:C,3,FALSE))</f>
        <v>Pakistan</v>
      </c>
      <c r="C40" t="s">
        <v>166</v>
      </c>
      <c r="D40" t="s">
        <v>173</v>
      </c>
      <c r="E40" t="s">
        <v>617</v>
      </c>
      <c r="J40" t="s">
        <v>164</v>
      </c>
      <c r="M40" s="2" t="str">
        <f>IF(J40="","",VLOOKUP(J40,[1]ISO辞書!A:B,2,FALSE))</f>
        <v>AFG</v>
      </c>
      <c r="N40" s="2" t="str">
        <f>IF(K40="","",VLOOKUP(K40,[1]ISO辞書!A:B,2,FALSE))</f>
        <v/>
      </c>
      <c r="O40" s="2" t="str">
        <f>IF(L40="","",VLOOKUP(L40,[1]ISO辞書!A:B,2,FALSE))</f>
        <v/>
      </c>
      <c r="P40" s="3" t="str">
        <f t="shared" si="0"/>
        <v>AFG</v>
      </c>
      <c r="Q40" t="s">
        <v>618</v>
      </c>
      <c r="R40" t="s">
        <v>55</v>
      </c>
      <c r="S40" s="1">
        <v>46111</v>
      </c>
      <c r="T40" t="s">
        <v>121</v>
      </c>
      <c r="U40" t="s">
        <v>174</v>
      </c>
      <c r="V40">
        <v>4</v>
      </c>
    </row>
    <row r="41" spans="1:22">
      <c r="A41" s="2" t="str">
        <f>IF(C41="","",VLOOKUP(C41,[1]ISO辞書!A:C,2,FALSE))</f>
        <v>USA</v>
      </c>
      <c r="B41" s="3" t="str">
        <f>IF(C41="","",VLOOKUP(C41,[1]ISO辞書!A:C,3,FALSE))</f>
        <v>America</v>
      </c>
      <c r="C41" t="s">
        <v>132</v>
      </c>
      <c r="D41" t="s">
        <v>186</v>
      </c>
      <c r="E41" t="s">
        <v>619</v>
      </c>
      <c r="J41" t="s">
        <v>187</v>
      </c>
      <c r="M41" s="2" t="str">
        <f>IF(J41="","",VLOOKUP(J41,[1]ISO辞書!A:B,2,FALSE))</f>
        <v>VEN</v>
      </c>
      <c r="N41" s="2" t="str">
        <f>IF(K41="","",VLOOKUP(K41,[1]ISO辞書!A:B,2,FALSE))</f>
        <v/>
      </c>
      <c r="O41" s="2" t="str">
        <f>IF(L41="","",VLOOKUP(L41,[1]ISO辞書!A:B,2,FALSE))</f>
        <v/>
      </c>
      <c r="P41" s="3" t="str">
        <f t="shared" si="0"/>
        <v>VEN</v>
      </c>
      <c r="Q41" t="s">
        <v>620</v>
      </c>
      <c r="R41" t="s">
        <v>43</v>
      </c>
      <c r="S41" s="1">
        <v>46111</v>
      </c>
      <c r="T41" t="s">
        <v>121</v>
      </c>
      <c r="U41" t="s">
        <v>188</v>
      </c>
      <c r="V41">
        <v>3</v>
      </c>
    </row>
    <row r="42" spans="1:22">
      <c r="A42" s="2" t="str">
        <f>IF(C42="","",VLOOKUP(C42,[1]ISO辞書!A:C,2,FALSE))</f>
        <v>EGY</v>
      </c>
      <c r="B42" s="3" t="str">
        <f>IF(C42="","",VLOOKUP(C42,[1]ISO辞書!A:C,3,FALSE))</f>
        <v>Egypt</v>
      </c>
      <c r="C42" t="s">
        <v>189</v>
      </c>
      <c r="D42" t="s">
        <v>192</v>
      </c>
      <c r="E42" t="s">
        <v>621</v>
      </c>
      <c r="J42" t="s">
        <v>193</v>
      </c>
      <c r="M42" s="2" t="str">
        <f>IF(J42="","",VLOOKUP(J42,[1]ISO辞書!A:B,2,FALSE))</f>
        <v>CYP</v>
      </c>
      <c r="N42" s="2" t="str">
        <f>IF(K42="","",VLOOKUP(K42,[1]ISO辞書!A:B,2,FALSE))</f>
        <v/>
      </c>
      <c r="O42" s="2" t="str">
        <f>IF(L42="","",VLOOKUP(L42,[1]ISO辞書!A:B,2,FALSE))</f>
        <v/>
      </c>
      <c r="P42" s="3" t="str">
        <f t="shared" si="0"/>
        <v>CYP</v>
      </c>
      <c r="Q42" t="s">
        <v>622</v>
      </c>
      <c r="R42" t="s">
        <v>133</v>
      </c>
      <c r="S42" s="1">
        <v>46111</v>
      </c>
      <c r="T42" t="s">
        <v>121</v>
      </c>
      <c r="U42" t="s">
        <v>194</v>
      </c>
      <c r="V42">
        <v>3</v>
      </c>
    </row>
    <row r="43" spans="1:22">
      <c r="A43" s="2" t="str">
        <f>IF(C43="","",VLOOKUP(C43,[1]ISO辞書!A:C,2,FALSE))</f>
        <v>SOM</v>
      </c>
      <c r="B43" s="3" t="str">
        <f>IF(C43="","",VLOOKUP(C43,[1]ISO辞書!A:C,3,FALSE))</f>
        <v>Somalia</v>
      </c>
      <c r="C43" t="s">
        <v>195</v>
      </c>
      <c r="D43" t="s">
        <v>196</v>
      </c>
      <c r="E43" t="s">
        <v>623</v>
      </c>
      <c r="M43" s="2" t="str">
        <f>IF(J43="","",VLOOKUP(J43,[1]ISO辞書!A:B,2,FALSE))</f>
        <v/>
      </c>
      <c r="N43" s="2" t="str">
        <f>IF(K43="","",VLOOKUP(K43,[1]ISO辞書!A:B,2,FALSE))</f>
        <v/>
      </c>
      <c r="O43" s="2" t="str">
        <f>IF(L43="","",VLOOKUP(L43,[1]ISO辞書!A:B,2,FALSE))</f>
        <v/>
      </c>
      <c r="P43" s="3" t="str">
        <f t="shared" si="0"/>
        <v/>
      </c>
      <c r="Q43" t="s">
        <v>624</v>
      </c>
      <c r="R43" t="s">
        <v>64</v>
      </c>
      <c r="S43" s="1">
        <v>46111</v>
      </c>
      <c r="T43" t="s">
        <v>121</v>
      </c>
      <c r="U43" t="s">
        <v>197</v>
      </c>
      <c r="V43">
        <v>4</v>
      </c>
    </row>
    <row r="44" spans="1:22">
      <c r="A44" s="2" t="str">
        <f>IF(C44="","",VLOOKUP(C44,[1]ISO辞書!A:C,2,FALSE))</f>
        <v>IRN</v>
      </c>
      <c r="B44" s="3" t="str">
        <f>IF(C44="","",VLOOKUP(C44,[1]ISO辞書!A:C,3,FALSE))</f>
        <v>Iran</v>
      </c>
      <c r="C44" t="s">
        <v>140</v>
      </c>
      <c r="D44" t="s">
        <v>198</v>
      </c>
      <c r="E44" t="s">
        <v>625</v>
      </c>
      <c r="J44" t="s">
        <v>118</v>
      </c>
      <c r="M44" s="2" t="str">
        <f>IF(J44="","",VLOOKUP(J44,[1]ISO辞書!A:B,2,FALSE))</f>
        <v>ISR</v>
      </c>
      <c r="N44" s="2" t="str">
        <f>IF(K44="","",VLOOKUP(K44,[1]ISO辞書!A:B,2,FALSE))</f>
        <v/>
      </c>
      <c r="O44" s="2" t="str">
        <f>IF(L44="","",VLOOKUP(L44,[1]ISO辞書!A:B,2,FALSE))</f>
        <v/>
      </c>
      <c r="P44" s="3" t="str">
        <f t="shared" si="0"/>
        <v>ISR</v>
      </c>
      <c r="Q44" t="s">
        <v>626</v>
      </c>
      <c r="R44" t="s">
        <v>55</v>
      </c>
      <c r="S44" s="1">
        <v>46111</v>
      </c>
      <c r="T44" t="s">
        <v>121</v>
      </c>
      <c r="U44" t="s">
        <v>199</v>
      </c>
      <c r="V44">
        <v>4</v>
      </c>
    </row>
    <row r="45" spans="1:22">
      <c r="A45" s="2" t="str">
        <f>IF(C45="","",VLOOKUP(C45,[1]ISO辞書!A:C,2,FALSE))</f>
        <v>PRY</v>
      </c>
      <c r="B45" s="3" t="str">
        <f>IF(C45="","",VLOOKUP(C45,[1]ISO辞書!A:C,3,FALSE))</f>
        <v>Paraguay</v>
      </c>
      <c r="C45" t="s">
        <v>136</v>
      </c>
      <c r="D45" t="s">
        <v>137</v>
      </c>
      <c r="E45" t="s">
        <v>627</v>
      </c>
      <c r="M45" s="2" t="str">
        <f>IF(J45="","",VLOOKUP(J45,[1]ISO辞書!A:B,2,FALSE))</f>
        <v/>
      </c>
      <c r="N45" s="2" t="str">
        <f>IF(K45="","",VLOOKUP(K45,[1]ISO辞書!A:B,2,FALSE))</f>
        <v/>
      </c>
      <c r="O45" s="2" t="str">
        <f>IF(L45="","",VLOOKUP(L45,[1]ISO辞書!A:B,2,FALSE))</f>
        <v/>
      </c>
      <c r="P45" s="3" t="str">
        <f t="shared" si="0"/>
        <v/>
      </c>
      <c r="R45" t="s">
        <v>64</v>
      </c>
      <c r="S45" s="1">
        <v>46112</v>
      </c>
      <c r="T45" t="s">
        <v>134</v>
      </c>
      <c r="U45" s="5" t="s">
        <v>138</v>
      </c>
      <c r="V45">
        <v>1</v>
      </c>
    </row>
    <row r="46" spans="1:22">
      <c r="A46" s="2" t="str">
        <f>IF(C46="","",VLOOKUP(C46,[1]ISO辞書!A:C,2,FALSE))</f>
        <v>USA</v>
      </c>
      <c r="B46" s="3" t="str">
        <f>IF(C46="","",VLOOKUP(C46,[1]ISO辞書!A:C,3,FALSE))</f>
        <v>America</v>
      </c>
      <c r="C46" t="s">
        <v>132</v>
      </c>
      <c r="D46" t="s">
        <v>139</v>
      </c>
      <c r="E46" t="s">
        <v>628</v>
      </c>
      <c r="J46" t="s">
        <v>140</v>
      </c>
      <c r="M46" s="2" t="str">
        <f>IF(J46="","",VLOOKUP(J46,[1]ISO辞書!A:B,2,FALSE))</f>
        <v>IRN</v>
      </c>
      <c r="N46" s="2" t="str">
        <f>IF(K46="","",VLOOKUP(K46,[1]ISO辞書!A:B,2,FALSE))</f>
        <v/>
      </c>
      <c r="O46" s="2" t="str">
        <f>IF(L46="","",VLOOKUP(L46,[1]ISO辞書!A:B,2,FALSE))</f>
        <v/>
      </c>
      <c r="P46" s="3" t="str">
        <f t="shared" si="0"/>
        <v>IRN</v>
      </c>
      <c r="Q46" t="s">
        <v>629</v>
      </c>
      <c r="R46" t="s">
        <v>55</v>
      </c>
      <c r="S46" s="1">
        <v>46112</v>
      </c>
      <c r="T46" t="s">
        <v>134</v>
      </c>
      <c r="U46" s="5" t="s">
        <v>141</v>
      </c>
      <c r="V46">
        <v>5</v>
      </c>
    </row>
    <row r="47" spans="1:22">
      <c r="A47" s="2" t="str">
        <f>IF(C47="","",VLOOKUP(C47,[1]ISO辞書!A:C,2,FALSE))</f>
        <v>GBR</v>
      </c>
      <c r="B47" s="3" t="str">
        <f>IF(C47="","",VLOOKUP(C47,[1]ISO辞書!A:C,3,FALSE))</f>
        <v>Britain</v>
      </c>
      <c r="C47" t="s">
        <v>144</v>
      </c>
      <c r="D47" t="s">
        <v>145</v>
      </c>
      <c r="E47" t="s">
        <v>630</v>
      </c>
      <c r="J47" t="s">
        <v>146</v>
      </c>
      <c r="M47" s="2" t="str">
        <f>IF(J47="","",VLOOKUP(J47,[1]ISO辞書!A:B,2,FALSE))</f>
        <v>SYR</v>
      </c>
      <c r="N47" s="2" t="str">
        <f>IF(K47="","",VLOOKUP(K47,[1]ISO辞書!A:B,2,FALSE))</f>
        <v/>
      </c>
      <c r="O47" s="2" t="str">
        <f>IF(L47="","",VLOOKUP(L47,[1]ISO辞書!A:B,2,FALSE))</f>
        <v/>
      </c>
      <c r="P47" s="3" t="str">
        <f t="shared" si="0"/>
        <v>SYR</v>
      </c>
      <c r="Q47" t="s">
        <v>631</v>
      </c>
      <c r="R47" t="s">
        <v>43</v>
      </c>
      <c r="S47" s="1">
        <v>46112</v>
      </c>
      <c r="T47" t="s">
        <v>121</v>
      </c>
      <c r="U47" t="s">
        <v>147</v>
      </c>
      <c r="V47">
        <v>3</v>
      </c>
    </row>
    <row r="48" spans="1:22">
      <c r="A48" s="2" t="str">
        <f>IF(C48="","",VLOOKUP(C48,[1]ISO辞書!A:C,2,FALSE))</f>
        <v>ISR</v>
      </c>
      <c r="B48" s="3" t="str">
        <f>IF(C48="","",VLOOKUP(C48,[1]ISO辞書!A:C,3,FALSE))</f>
        <v>Israel</v>
      </c>
      <c r="C48" t="s">
        <v>118</v>
      </c>
      <c r="D48" t="s">
        <v>148</v>
      </c>
      <c r="E48" t="s">
        <v>632</v>
      </c>
      <c r="J48" t="s">
        <v>120</v>
      </c>
      <c r="M48" s="2" t="str">
        <f>IF(J48="","",VLOOKUP(J48,[1]ISO辞書!A:B,2,FALSE))</f>
        <v>LBN</v>
      </c>
      <c r="N48" s="2" t="str">
        <f>IF(K48="","",VLOOKUP(K48,[1]ISO辞書!A:B,2,FALSE))</f>
        <v/>
      </c>
      <c r="O48" s="2" t="str">
        <f>IF(L48="","",VLOOKUP(L48,[1]ISO辞書!A:B,2,FALSE))</f>
        <v/>
      </c>
      <c r="P48" s="3" t="str">
        <f t="shared" si="0"/>
        <v>LBN</v>
      </c>
      <c r="Q48" t="s">
        <v>633</v>
      </c>
      <c r="R48" t="s">
        <v>55</v>
      </c>
      <c r="S48" s="1">
        <v>46112</v>
      </c>
      <c r="T48" t="s">
        <v>121</v>
      </c>
      <c r="U48" t="s">
        <v>149</v>
      </c>
      <c r="V48">
        <v>4</v>
      </c>
    </row>
    <row r="49" spans="1:22">
      <c r="A49" s="2" t="str">
        <f>IF(C49="","",VLOOKUP(C49,[1]ISO辞書!A:C,2,FALSE))</f>
        <v>ITA</v>
      </c>
      <c r="B49" s="3" t="str">
        <f>IF(C49="","",VLOOKUP(C49,[1]ISO辞書!A:C,3,FALSE))</f>
        <v>Italy</v>
      </c>
      <c r="C49" t="s">
        <v>126</v>
      </c>
      <c r="D49" t="s">
        <v>156</v>
      </c>
      <c r="E49" t="s">
        <v>634</v>
      </c>
      <c r="J49" t="s">
        <v>132</v>
      </c>
      <c r="M49" s="2" t="str">
        <f>IF(J49="","",VLOOKUP(J49,[1]ISO辞書!A:B,2,FALSE))</f>
        <v>USA</v>
      </c>
      <c r="N49" s="2" t="str">
        <f>IF(K49="","",VLOOKUP(K49,[1]ISO辞書!A:B,2,FALSE))</f>
        <v/>
      </c>
      <c r="O49" s="2" t="str">
        <f>IF(L49="","",VLOOKUP(L49,[1]ISO辞書!A:B,2,FALSE))</f>
        <v/>
      </c>
      <c r="P49" s="3" t="str">
        <f t="shared" si="0"/>
        <v>USA</v>
      </c>
      <c r="Q49" t="s">
        <v>635</v>
      </c>
      <c r="R49" t="s">
        <v>43</v>
      </c>
      <c r="S49" s="1">
        <v>46112</v>
      </c>
      <c r="T49" t="s">
        <v>121</v>
      </c>
      <c r="U49" t="s">
        <v>157</v>
      </c>
      <c r="V49">
        <v>3</v>
      </c>
    </row>
    <row r="50" spans="1:22">
      <c r="A50" s="2" t="str">
        <f>IF(C50="","",VLOOKUP(C50,[1]ISO辞書!A:C,2,FALSE))</f>
        <v>FRA</v>
      </c>
      <c r="B50" s="3" t="str">
        <f>IF(C50="","",VLOOKUP(C50,[1]ISO辞書!A:C,3,FALSE))</f>
        <v>France</v>
      </c>
      <c r="C50" t="s">
        <v>158</v>
      </c>
      <c r="D50" t="s">
        <v>159</v>
      </c>
      <c r="E50" t="s">
        <v>636</v>
      </c>
      <c r="J50" t="s">
        <v>118</v>
      </c>
      <c r="K50" t="s">
        <v>132</v>
      </c>
      <c r="M50" s="2" t="str">
        <f>IF(J50="","",VLOOKUP(J50,[1]ISO辞書!A:B,2,FALSE))</f>
        <v>ISR</v>
      </c>
      <c r="N50" s="2" t="str">
        <f>IF(K50="","",VLOOKUP(K50,[1]ISO辞書!A:B,2,FALSE))</f>
        <v>USA</v>
      </c>
      <c r="O50" s="2" t="str">
        <f>IF(L50="","",VLOOKUP(L50,[1]ISO辞書!A:B,2,FALSE))</f>
        <v/>
      </c>
      <c r="P50" s="3" t="str">
        <f t="shared" si="0"/>
        <v>ISR;USA</v>
      </c>
      <c r="Q50" t="s">
        <v>637</v>
      </c>
      <c r="R50" t="s">
        <v>43</v>
      </c>
      <c r="S50" s="1">
        <v>46112</v>
      </c>
      <c r="T50" t="s">
        <v>121</v>
      </c>
      <c r="U50" t="s">
        <v>160</v>
      </c>
      <c r="V50">
        <v>3</v>
      </c>
    </row>
    <row r="51" spans="1:22">
      <c r="A51" s="2" t="str">
        <f>IF(C51="","",VLOOKUP(C51,[1]ISO辞書!A:C,2,FALSE))</f>
        <v>THA</v>
      </c>
      <c r="B51" s="3" t="str">
        <f>IF(C51="","",VLOOKUP(C51,[1]ISO辞書!A:C,3,FALSE))</f>
        <v>Thailand</v>
      </c>
      <c r="C51" t="s">
        <v>175</v>
      </c>
      <c r="D51" t="s">
        <v>176</v>
      </c>
      <c r="E51" t="s">
        <v>638</v>
      </c>
      <c r="M51" s="2" t="str">
        <f>IF(J51="","",VLOOKUP(J51,[1]ISO辞書!A:B,2,FALSE))</f>
        <v/>
      </c>
      <c r="N51" s="2" t="str">
        <f>IF(K51="","",VLOOKUP(K51,[1]ISO辞書!A:B,2,FALSE))</f>
        <v/>
      </c>
      <c r="O51" s="2" t="str">
        <f>IF(L51="","",VLOOKUP(L51,[1]ISO辞書!A:B,2,FALSE))</f>
        <v/>
      </c>
      <c r="P51" s="3" t="str">
        <f t="shared" si="0"/>
        <v/>
      </c>
      <c r="Q51" t="s">
        <v>639</v>
      </c>
      <c r="R51" t="s">
        <v>64</v>
      </c>
      <c r="S51" s="1">
        <v>46112</v>
      </c>
      <c r="T51" t="s">
        <v>121</v>
      </c>
      <c r="U51" t="s">
        <v>177</v>
      </c>
      <c r="V51">
        <v>2</v>
      </c>
    </row>
    <row r="52" spans="1:22">
      <c r="A52" s="2" t="str">
        <f>IF(C52="","",VLOOKUP(C52,[1]ISO辞書!A:C,2,FALSE))</f>
        <v>KOR</v>
      </c>
      <c r="B52" s="3" t="str">
        <f>IF(C52="","",VLOOKUP(C52,[1]ISO辞書!A:C,3,FALSE))</f>
        <v>Korea</v>
      </c>
      <c r="C52" t="s">
        <v>178</v>
      </c>
      <c r="D52" t="s">
        <v>179</v>
      </c>
      <c r="E52" t="s">
        <v>640</v>
      </c>
      <c r="M52" s="2" t="str">
        <f>IF(J52="","",VLOOKUP(J52,[1]ISO辞書!A:B,2,FALSE))</f>
        <v/>
      </c>
      <c r="N52" s="2" t="str">
        <f>IF(K52="","",VLOOKUP(K52,[1]ISO辞書!A:B,2,FALSE))</f>
        <v/>
      </c>
      <c r="O52" s="2" t="str">
        <f>IF(L52="","",VLOOKUP(L52,[1]ISO辞書!A:B,2,FALSE))</f>
        <v/>
      </c>
      <c r="P52" s="3" t="str">
        <f t="shared" si="0"/>
        <v/>
      </c>
      <c r="Q52" t="s">
        <v>641</v>
      </c>
      <c r="R52" t="s">
        <v>180</v>
      </c>
      <c r="S52" s="1">
        <v>46112</v>
      </c>
      <c r="T52" t="s">
        <v>121</v>
      </c>
      <c r="U52" t="s">
        <v>181</v>
      </c>
      <c r="V52">
        <v>4</v>
      </c>
    </row>
    <row r="53" spans="1:22">
      <c r="A53" s="2" t="str">
        <f>IF(C53="","",VLOOKUP(C53,[1]ISO辞書!A:C,2,FALSE))</f>
        <v>MNG</v>
      </c>
      <c r="B53" s="3" t="str">
        <f>IF(C53="","",VLOOKUP(C53,[1]ISO辞書!A:C,3,FALSE))</f>
        <v>Mongolia</v>
      </c>
      <c r="C53" t="s">
        <v>183</v>
      </c>
      <c r="D53" t="s">
        <v>184</v>
      </c>
      <c r="E53" t="s">
        <v>642</v>
      </c>
      <c r="M53" s="2" t="str">
        <f>IF(J53="","",VLOOKUP(J53,[1]ISO辞書!A:B,2,FALSE))</f>
        <v/>
      </c>
      <c r="N53" s="2" t="str">
        <f>IF(K53="","",VLOOKUP(K53,[1]ISO辞書!A:B,2,FALSE))</f>
        <v/>
      </c>
      <c r="O53" s="2" t="str">
        <f>IF(L53="","",VLOOKUP(L53,[1]ISO辞書!A:B,2,FALSE))</f>
        <v/>
      </c>
      <c r="P53" s="3" t="str">
        <f t="shared" si="0"/>
        <v/>
      </c>
      <c r="Q53" t="s">
        <v>643</v>
      </c>
      <c r="R53" t="s">
        <v>64</v>
      </c>
      <c r="S53" s="1">
        <v>46112</v>
      </c>
      <c r="T53" t="s">
        <v>121</v>
      </c>
      <c r="U53" t="s">
        <v>185</v>
      </c>
      <c r="V53">
        <v>1</v>
      </c>
    </row>
    <row r="54" spans="1:22">
      <c r="A54" s="2" t="str">
        <f>IF(C54="","",VLOOKUP(C54,[1]ISO辞書!A:C,2,FALSE))</f>
        <v>DEU</v>
      </c>
      <c r="B54" s="3" t="str">
        <f>IF(C54="","",VLOOKUP(C54,[1]ISO辞書!A:C,3,FALSE))</f>
        <v>Germany</v>
      </c>
      <c r="C54" t="s">
        <v>200</v>
      </c>
      <c r="D54" t="s">
        <v>201</v>
      </c>
      <c r="E54" t="s">
        <v>644</v>
      </c>
      <c r="M54" s="2" t="str">
        <f>IF(J54="","",VLOOKUP(J54,[1]ISO辞書!A:B,2,FALSE))</f>
        <v/>
      </c>
      <c r="N54" s="2" t="str">
        <f>IF(K54="","",VLOOKUP(K54,[1]ISO辞書!A:B,2,FALSE))</f>
        <v/>
      </c>
      <c r="O54" s="2" t="str">
        <f>IF(L54="","",VLOOKUP(L54,[1]ISO辞書!A:B,2,FALSE))</f>
        <v/>
      </c>
      <c r="P54" s="3" t="str">
        <f t="shared" si="0"/>
        <v/>
      </c>
      <c r="Q54" t="s">
        <v>645</v>
      </c>
      <c r="R54" t="s">
        <v>64</v>
      </c>
      <c r="S54" s="1">
        <v>46112</v>
      </c>
      <c r="T54" t="s">
        <v>121</v>
      </c>
      <c r="U54" t="s">
        <v>202</v>
      </c>
      <c r="V54">
        <v>3</v>
      </c>
    </row>
    <row r="55" spans="1:22">
      <c r="A55" s="2" t="str">
        <f>IF(C55="","",VLOOKUP(C55,[1]ISO辞書!A:C,2,FALSE))</f>
        <v>SRB</v>
      </c>
      <c r="B55" s="3" t="str">
        <f>IF(C55="","",VLOOKUP(C55,[1]ISO辞書!A:C,3,FALSE))</f>
        <v>Serbia</v>
      </c>
      <c r="C55" t="s">
        <v>219</v>
      </c>
      <c r="D55" t="s">
        <v>220</v>
      </c>
      <c r="E55" t="s">
        <v>646</v>
      </c>
      <c r="M55" s="2" t="str">
        <f>IF(J55="","",VLOOKUP(J55,[1]ISO辞書!A:B,2,FALSE))</f>
        <v/>
      </c>
      <c r="N55" s="2" t="str">
        <f>IF(K55="","",VLOOKUP(K55,[1]ISO辞書!A:B,2,FALSE))</f>
        <v/>
      </c>
      <c r="O55" s="2" t="str">
        <f>IF(L55="","",VLOOKUP(L55,[1]ISO辞書!A:B,2,FALSE))</f>
        <v/>
      </c>
      <c r="P55" s="3" t="str">
        <f t="shared" si="0"/>
        <v/>
      </c>
      <c r="Q55" t="s">
        <v>647</v>
      </c>
      <c r="R55" t="s">
        <v>64</v>
      </c>
      <c r="S55" s="1">
        <v>46112</v>
      </c>
      <c r="T55" t="s">
        <v>121</v>
      </c>
      <c r="U55" t="s">
        <v>221</v>
      </c>
      <c r="V55">
        <v>3</v>
      </c>
    </row>
    <row r="56" spans="1:22">
      <c r="A56" s="2" t="str">
        <f>IF(C56="","",VLOOKUP(C56,[1]ISO辞書!A:C,2,FALSE))</f>
        <v>SYR</v>
      </c>
      <c r="B56" s="3" t="str">
        <f>IF(C56="","",VLOOKUP(C56,[1]ISO辞書!A:C,3,FALSE))</f>
        <v>Syrian Arab Republic</v>
      </c>
      <c r="C56" t="s">
        <v>146</v>
      </c>
      <c r="D56" t="s">
        <v>234</v>
      </c>
      <c r="E56" t="s">
        <v>648</v>
      </c>
      <c r="J56" t="s">
        <v>140</v>
      </c>
      <c r="K56" t="s">
        <v>132</v>
      </c>
      <c r="L56" t="s">
        <v>118</v>
      </c>
      <c r="M56" s="2" t="str">
        <f>IF(J56="","",VLOOKUP(J56,[1]ISO辞書!A:B,2,FALSE))</f>
        <v>IRN</v>
      </c>
      <c r="N56" s="2" t="str">
        <f>IF(K56="","",VLOOKUP(K56,[1]ISO辞書!A:B,2,FALSE))</f>
        <v>USA</v>
      </c>
      <c r="O56" s="2" t="str">
        <f>IF(L56="","",VLOOKUP(L56,[1]ISO辞書!A:B,2,FALSE))</f>
        <v>ISR</v>
      </c>
      <c r="P56" s="3" t="str">
        <f t="shared" si="0"/>
        <v>IRN;USA;ISR</v>
      </c>
      <c r="Q56" t="s">
        <v>649</v>
      </c>
      <c r="R56" t="s">
        <v>43</v>
      </c>
      <c r="S56" s="1">
        <v>46112</v>
      </c>
      <c r="T56" t="s">
        <v>121</v>
      </c>
      <c r="U56" t="s">
        <v>235</v>
      </c>
      <c r="V56">
        <v>3</v>
      </c>
    </row>
    <row r="57" spans="1:22">
      <c r="A57" s="2" t="str">
        <f>IF(C57="","",VLOOKUP(C57,[1]ISO辞書!A:C,2,FALSE))</f>
        <v>USA</v>
      </c>
      <c r="B57" s="3" t="str">
        <f>IF(C57="","",VLOOKUP(C57,[1]ISO辞書!A:C,3,FALSE))</f>
        <v>America</v>
      </c>
      <c r="C57" t="s">
        <v>132</v>
      </c>
      <c r="D57" t="s">
        <v>217</v>
      </c>
      <c r="E57" t="s">
        <v>650</v>
      </c>
      <c r="M57" s="2" t="str">
        <f>IF(J57="","",VLOOKUP(J57,[1]ISO辞書!A:B,2,FALSE))</f>
        <v/>
      </c>
      <c r="N57" s="2" t="str">
        <f>IF(K57="","",VLOOKUP(K57,[1]ISO辞書!A:B,2,FALSE))</f>
        <v/>
      </c>
      <c r="O57" s="2" t="str">
        <f>IF(L57="","",VLOOKUP(L57,[1]ISO辞書!A:B,2,FALSE))</f>
        <v/>
      </c>
      <c r="P57" s="3" t="str">
        <f t="shared" si="0"/>
        <v/>
      </c>
      <c r="Q57" t="s">
        <v>651</v>
      </c>
      <c r="S57" s="1">
        <v>46113</v>
      </c>
      <c r="T57" t="s">
        <v>121</v>
      </c>
      <c r="U57" t="s">
        <v>218</v>
      </c>
      <c r="V57">
        <v>4</v>
      </c>
    </row>
    <row r="58" spans="1:22">
      <c r="A58" s="2" t="str">
        <f>IF(C58="","",VLOOKUP(C58,[1]ISO辞書!A:C,2,FALSE))</f>
        <v>LBN</v>
      </c>
      <c r="B58" s="3" t="str">
        <f>IF(C58="","",VLOOKUP(C58,[1]ISO辞書!A:C,3,FALSE))</f>
        <v>Lebanon</v>
      </c>
      <c r="C58" t="s">
        <v>120</v>
      </c>
      <c r="D58" t="s">
        <v>232</v>
      </c>
      <c r="E58" t="s">
        <v>652</v>
      </c>
      <c r="J58" t="s">
        <v>118</v>
      </c>
      <c r="M58" s="2" t="str">
        <f>IF(J58="","",VLOOKUP(J58,[1]ISO辞書!A:B,2,FALSE))</f>
        <v>ISR</v>
      </c>
      <c r="N58" s="2" t="str">
        <f>IF(K58="","",VLOOKUP(K58,[1]ISO辞書!A:B,2,FALSE))</f>
        <v/>
      </c>
      <c r="O58" s="2" t="str">
        <f>IF(L58="","",VLOOKUP(L58,[1]ISO辞書!A:B,2,FALSE))</f>
        <v/>
      </c>
      <c r="P58" s="3" t="str">
        <f t="shared" si="0"/>
        <v>ISR</v>
      </c>
      <c r="Q58" t="s">
        <v>653</v>
      </c>
      <c r="R58" t="s">
        <v>55</v>
      </c>
      <c r="S58" s="1">
        <v>46113</v>
      </c>
      <c r="T58" t="s">
        <v>121</v>
      </c>
      <c r="U58" t="s">
        <v>233</v>
      </c>
      <c r="V58">
        <v>4</v>
      </c>
    </row>
    <row r="59" spans="1:22">
      <c r="A59" s="2" t="str">
        <f>IF(C59="","",VLOOKUP(C59,[1]ISO辞書!A:C,2,FALSE))</f>
        <v>ARG</v>
      </c>
      <c r="B59" s="3" t="str">
        <f>IF(C59="","",VLOOKUP(C59,[1]ISO辞書!A:C,3,FALSE))</f>
        <v>Argentina</v>
      </c>
      <c r="C59" t="s">
        <v>236</v>
      </c>
      <c r="D59" t="s">
        <v>237</v>
      </c>
      <c r="E59" t="s">
        <v>654</v>
      </c>
      <c r="J59" t="s">
        <v>140</v>
      </c>
      <c r="M59" s="2" t="str">
        <f>IF(J59="","",VLOOKUP(J59,[1]ISO辞書!A:B,2,FALSE))</f>
        <v>IRN</v>
      </c>
      <c r="N59" s="2" t="str">
        <f>IF(K59="","",VLOOKUP(K59,[1]ISO辞書!A:B,2,FALSE))</f>
        <v/>
      </c>
      <c r="O59" s="2" t="str">
        <f>IF(L59="","",VLOOKUP(L59,[1]ISO辞書!A:B,2,FALSE))</f>
        <v/>
      </c>
      <c r="P59" s="3" t="str">
        <f t="shared" si="0"/>
        <v>IRN</v>
      </c>
      <c r="Q59" t="s">
        <v>655</v>
      </c>
      <c r="R59" t="s">
        <v>43</v>
      </c>
      <c r="S59" s="1">
        <v>46113</v>
      </c>
      <c r="T59" t="s">
        <v>121</v>
      </c>
      <c r="U59" t="s">
        <v>238</v>
      </c>
      <c r="V59">
        <v>4</v>
      </c>
    </row>
    <row r="60" spans="1:22">
      <c r="A60" s="2" t="str">
        <f>IF(C60="","",VLOOKUP(C60,[1]ISO辞書!A:C,2,FALSE))</f>
        <v>EU</v>
      </c>
      <c r="B60" s="3" t="str">
        <f>IF(C60="","",VLOOKUP(C60,[1]ISO辞書!A:C,3,FALSE))</f>
        <v>EU</v>
      </c>
      <c r="C60" t="s">
        <v>254</v>
      </c>
      <c r="D60" t="s">
        <v>255</v>
      </c>
      <c r="E60" t="s">
        <v>656</v>
      </c>
      <c r="J60" t="s">
        <v>129</v>
      </c>
      <c r="M60" s="2" t="str">
        <f>IF(J60="","",VLOOKUP(J60,[1]ISO辞書!A:B,2,FALSE))</f>
        <v>CUB</v>
      </c>
      <c r="N60" s="2" t="str">
        <f>IF(K60="","",VLOOKUP(K60,[1]ISO辞書!A:B,2,FALSE))</f>
        <v/>
      </c>
      <c r="O60" s="2" t="str">
        <f>IF(L60="","",VLOOKUP(L60,[1]ISO辞書!A:B,2,FALSE))</f>
        <v/>
      </c>
      <c r="P60" s="3" t="str">
        <f t="shared" si="0"/>
        <v>CUB</v>
      </c>
      <c r="Q60" t="s">
        <v>657</v>
      </c>
      <c r="R60" t="s">
        <v>43</v>
      </c>
      <c r="S60" s="1">
        <v>46113</v>
      </c>
      <c r="T60" t="s">
        <v>121</v>
      </c>
      <c r="U60" t="s">
        <v>256</v>
      </c>
      <c r="V60">
        <v>3</v>
      </c>
    </row>
    <row r="61" spans="1:22">
      <c r="A61" s="2" t="str">
        <f>IF(C61="","",VLOOKUP(C61,[1]ISO辞書!A:C,2,FALSE))</f>
        <v>TCD</v>
      </c>
      <c r="B61" s="3" t="str">
        <f>IF(C61="","",VLOOKUP(C61,[1]ISO辞書!A:C,3,FALSE))</f>
        <v>Chad</v>
      </c>
      <c r="C61" t="s">
        <v>302</v>
      </c>
      <c r="D61" t="s">
        <v>303</v>
      </c>
      <c r="E61" t="s">
        <v>658</v>
      </c>
      <c r="J61" t="s">
        <v>304</v>
      </c>
      <c r="M61" s="2" t="str">
        <f>IF(J61="","",VLOOKUP(J61,[1]ISO辞書!A:B,2,FALSE))</f>
        <v>HTI</v>
      </c>
      <c r="N61" s="2" t="str">
        <f>IF(K61="","",VLOOKUP(K61,[1]ISO辞書!A:B,2,FALSE))</f>
        <v/>
      </c>
      <c r="O61" s="2" t="str">
        <f>IF(L61="","",VLOOKUP(L61,[1]ISO辞書!A:B,2,FALSE))</f>
        <v/>
      </c>
      <c r="P61" s="3" t="str">
        <f t="shared" si="0"/>
        <v>HTI</v>
      </c>
      <c r="R61" t="s">
        <v>55</v>
      </c>
      <c r="S61" s="1">
        <v>46113</v>
      </c>
      <c r="T61" t="s">
        <v>300</v>
      </c>
      <c r="U61" t="s">
        <v>305</v>
      </c>
      <c r="V61">
        <v>3</v>
      </c>
    </row>
    <row r="62" spans="1:22">
      <c r="A62" s="2" t="str">
        <f>IF(C62="","",VLOOKUP(C62,[1]ISO辞書!A:C,2,FALSE))</f>
        <v>RUS</v>
      </c>
      <c r="B62" s="3" t="str">
        <f>IF(C62="","",VLOOKUP(C62,[1]ISO辞書!A:C,3,FALSE))</f>
        <v>Russian Federation</v>
      </c>
      <c r="C62" t="s">
        <v>131</v>
      </c>
      <c r="D62" t="s">
        <v>213</v>
      </c>
      <c r="E62" t="s">
        <v>659</v>
      </c>
      <c r="J62" t="s">
        <v>150</v>
      </c>
      <c r="M62" s="2" t="str">
        <f>IF(J62="","",VLOOKUP(J62,[1]ISO辞書!A:B,2,FALSE))</f>
        <v>UKR</v>
      </c>
      <c r="N62" s="2" t="str">
        <f>IF(K62="","",VLOOKUP(K62,[1]ISO辞書!A:B,2,FALSE))</f>
        <v/>
      </c>
      <c r="O62" s="2" t="str">
        <f>IF(L62="","",VLOOKUP(L62,[1]ISO辞書!A:B,2,FALSE))</f>
        <v/>
      </c>
      <c r="P62" s="3" t="str">
        <f t="shared" si="0"/>
        <v>UKR</v>
      </c>
      <c r="R62" t="s">
        <v>55</v>
      </c>
      <c r="S62" s="1">
        <v>46114</v>
      </c>
      <c r="T62" t="s">
        <v>121</v>
      </c>
      <c r="U62" t="s">
        <v>214</v>
      </c>
      <c r="V62">
        <v>4</v>
      </c>
    </row>
    <row r="63" spans="1:22">
      <c r="A63" s="2" t="str">
        <f>IF(C63="","",VLOOKUP(C63,[1]ISO辞書!A:C,2,FALSE))</f>
        <v>GBR</v>
      </c>
      <c r="B63" s="3" t="str">
        <f>IF(C63="","",VLOOKUP(C63,[1]ISO辞書!A:C,3,FALSE))</f>
        <v>Britain</v>
      </c>
      <c r="C63" t="s">
        <v>144</v>
      </c>
      <c r="D63" t="s">
        <v>215</v>
      </c>
      <c r="E63" t="s">
        <v>660</v>
      </c>
      <c r="J63" t="s">
        <v>200</v>
      </c>
      <c r="K63" t="s">
        <v>158</v>
      </c>
      <c r="L63" t="s">
        <v>209</v>
      </c>
      <c r="M63" s="2" t="str">
        <f>IF(J63="","",VLOOKUP(J63,[1]ISO辞書!A:B,2,FALSE))</f>
        <v>DEU</v>
      </c>
      <c r="N63" s="2" t="str">
        <f>IF(K63="","",VLOOKUP(K63,[1]ISO辞書!A:B,2,FALSE))</f>
        <v>FRA</v>
      </c>
      <c r="O63" s="2" t="str">
        <f>IF(L63="","",VLOOKUP(L63,[1]ISO辞書!A:B,2,FALSE))</f>
        <v>ARE</v>
      </c>
      <c r="P63" s="3" t="str">
        <f t="shared" si="0"/>
        <v>DEU;FRA;ARE</v>
      </c>
      <c r="Q63" t="s">
        <v>661</v>
      </c>
      <c r="R63" t="s">
        <v>133</v>
      </c>
      <c r="S63" s="1">
        <v>46114</v>
      </c>
      <c r="T63" t="s">
        <v>121</v>
      </c>
      <c r="U63" t="s">
        <v>216</v>
      </c>
      <c r="V63">
        <v>5</v>
      </c>
    </row>
    <row r="64" spans="1:22">
      <c r="A64" s="2" t="str">
        <f>IF(C64="","",VLOOKUP(C64,[1]ISO辞書!A:C,2,FALSE))</f>
        <v>BFA</v>
      </c>
      <c r="B64" s="3" t="str">
        <f>IF(C64="","",VLOOKUP(C64,[1]ISO辞書!A:C,3,FALSE))</f>
        <v>Burkina Faso</v>
      </c>
      <c r="C64" t="s">
        <v>239</v>
      </c>
      <c r="D64" t="s">
        <v>240</v>
      </c>
      <c r="E64" t="s">
        <v>662</v>
      </c>
      <c r="J64" t="s">
        <v>241</v>
      </c>
      <c r="M64" s="2" t="str">
        <f>IF(J64="","",VLOOKUP(J64,[1]ISO辞書!A:B,2,FALSE))</f>
        <v>MLI</v>
      </c>
      <c r="N64" s="2" t="str">
        <f>IF(K64="","",VLOOKUP(K64,[1]ISO辞書!A:B,2,FALSE))</f>
        <v/>
      </c>
      <c r="O64" s="2" t="str">
        <f>IF(L64="","",VLOOKUP(L64,[1]ISO辞書!A:B,2,FALSE))</f>
        <v/>
      </c>
      <c r="P64" s="3" t="str">
        <f t="shared" si="0"/>
        <v>MLI</v>
      </c>
      <c r="Q64" t="s">
        <v>663</v>
      </c>
      <c r="R64" t="s">
        <v>55</v>
      </c>
      <c r="S64" s="1">
        <v>46114</v>
      </c>
      <c r="T64" t="s">
        <v>121</v>
      </c>
      <c r="U64" t="s">
        <v>242</v>
      </c>
      <c r="V64">
        <v>3</v>
      </c>
    </row>
    <row r="65" spans="1:22">
      <c r="A65" s="2" t="str">
        <f>IF(C65="","",VLOOKUP(C65,[1]ISO辞書!A:C,2,FALSE))</f>
        <v>COD</v>
      </c>
      <c r="B65" s="3" t="str">
        <f>IF(C65="","",VLOOKUP(C65,[1]ISO辞書!A:C,3,FALSE))</f>
        <v>Democratic Republic of the Congo</v>
      </c>
      <c r="C65" t="s">
        <v>248</v>
      </c>
      <c r="D65" t="s">
        <v>249</v>
      </c>
      <c r="E65" t="s">
        <v>664</v>
      </c>
      <c r="M65" s="2" t="str">
        <f>IF(J65="","",VLOOKUP(J65,[1]ISO辞書!A:B,2,FALSE))</f>
        <v/>
      </c>
      <c r="N65" s="2" t="str">
        <f>IF(K65="","",VLOOKUP(K65,[1]ISO辞書!A:B,2,FALSE))</f>
        <v/>
      </c>
      <c r="O65" s="2" t="str">
        <f>IF(L65="","",VLOOKUP(L65,[1]ISO辞書!A:B,2,FALSE))</f>
        <v/>
      </c>
      <c r="P65" s="3" t="str">
        <f t="shared" si="0"/>
        <v/>
      </c>
      <c r="Q65" t="s">
        <v>665</v>
      </c>
      <c r="R65" t="s">
        <v>55</v>
      </c>
      <c r="S65" s="1">
        <v>46114</v>
      </c>
      <c r="T65" t="s">
        <v>121</v>
      </c>
      <c r="U65" t="s">
        <v>251</v>
      </c>
      <c r="V65">
        <v>2</v>
      </c>
    </row>
    <row r="66" spans="1:22">
      <c r="A66" s="2" t="str">
        <f>IF(C66="","",VLOOKUP(C66,[1]ISO辞書!A:C,2,FALSE))</f>
        <v>USA</v>
      </c>
      <c r="B66" s="3" t="str">
        <f>IF(C66="","",VLOOKUP(C66,[1]ISO辞書!A:C,3,FALSE))</f>
        <v>America</v>
      </c>
      <c r="C66" t="s">
        <v>132</v>
      </c>
      <c r="D66" t="s">
        <v>252</v>
      </c>
      <c r="E66" t="s">
        <v>666</v>
      </c>
      <c r="J66" t="s">
        <v>187</v>
      </c>
      <c r="M66" s="2" t="str">
        <f>IF(J66="","",VLOOKUP(J66,[1]ISO辞書!A:B,2,FALSE))</f>
        <v>VEN</v>
      </c>
      <c r="N66" s="2" t="str">
        <f>IF(K66="","",VLOOKUP(K66,[1]ISO辞書!A:B,2,FALSE))</f>
        <v/>
      </c>
      <c r="O66" s="2" t="str">
        <f>IF(L66="","",VLOOKUP(L66,[1]ISO辞書!A:B,2,FALSE))</f>
        <v/>
      </c>
      <c r="P66" s="3" t="str">
        <f t="shared" ref="P66:P129" si="1">_xlfn.TEXTJOIN(";",TRUE,M66:O66)</f>
        <v>VEN</v>
      </c>
      <c r="Q66" t="s">
        <v>667</v>
      </c>
      <c r="R66" t="s">
        <v>43</v>
      </c>
      <c r="S66" s="1">
        <v>46114</v>
      </c>
      <c r="T66" t="s">
        <v>121</v>
      </c>
      <c r="U66" t="s">
        <v>253</v>
      </c>
      <c r="V66">
        <v>4</v>
      </c>
    </row>
    <row r="67" spans="1:22">
      <c r="A67" s="2" t="str">
        <f>IF(C67="","",VLOOKUP(C67,[1]ISO辞書!A:C,2,FALSE))</f>
        <v>NZL</v>
      </c>
      <c r="B67" s="3" t="str">
        <f>IF(C67="","",VLOOKUP(C67,[1]ISO辞書!A:C,3,FALSE))</f>
        <v>New Zealand</v>
      </c>
      <c r="C67" t="s">
        <v>259</v>
      </c>
      <c r="D67" t="s">
        <v>260</v>
      </c>
      <c r="E67" t="s">
        <v>668</v>
      </c>
      <c r="J67" t="s">
        <v>261</v>
      </c>
      <c r="M67" s="2" t="str">
        <f>IF(J67="","",VLOOKUP(J67,[1]ISO辞書!A:B,2,FALSE))</f>
        <v>COK</v>
      </c>
      <c r="N67" s="2" t="str">
        <f>IF(K67="","",VLOOKUP(K67,[1]ISO辞書!A:B,2,FALSE))</f>
        <v/>
      </c>
      <c r="O67" s="2" t="str">
        <f>IF(L67="","",VLOOKUP(L67,[1]ISO辞書!A:B,2,FALSE))</f>
        <v/>
      </c>
      <c r="P67" s="3" t="str">
        <f t="shared" si="1"/>
        <v>COK</v>
      </c>
      <c r="Q67" t="s">
        <v>669</v>
      </c>
      <c r="R67" t="s">
        <v>43</v>
      </c>
      <c r="S67" s="1">
        <v>46114</v>
      </c>
      <c r="T67" t="s">
        <v>121</v>
      </c>
      <c r="U67" t="s">
        <v>262</v>
      </c>
      <c r="V67">
        <v>4</v>
      </c>
    </row>
    <row r="68" spans="1:22">
      <c r="A68" s="2" t="str">
        <f>IF(C68="","",VLOOKUP(C68,[1]ISO辞書!A:C,2,FALSE))</f>
        <v>IND</v>
      </c>
      <c r="B68" s="3" t="str">
        <f>IF(C68="","",VLOOKUP(C68,[1]ISO辞書!A:C,3,FALSE))</f>
        <v>India</v>
      </c>
      <c r="C68" t="s">
        <v>291</v>
      </c>
      <c r="D68" t="s">
        <v>292</v>
      </c>
      <c r="E68" t="s">
        <v>670</v>
      </c>
      <c r="J68" t="s">
        <v>293</v>
      </c>
      <c r="K68" t="s">
        <v>270</v>
      </c>
      <c r="M68" s="2" t="str">
        <f>IF(J68="","",VLOOKUP(J68,[1]ISO辞書!A:B,2,FALSE))</f>
        <v>GBR</v>
      </c>
      <c r="N68" s="2" t="str">
        <f>IF(K68="","",VLOOKUP(K68,[1]ISO辞書!A:B,2,FALSE))</f>
        <v>IRN</v>
      </c>
      <c r="O68" s="2" t="str">
        <f>IF(L68="","",VLOOKUP(L68,[1]ISO辞書!A:B,2,FALSE))</f>
        <v/>
      </c>
      <c r="P68" s="3" t="str">
        <f t="shared" si="1"/>
        <v>GBR;IRN</v>
      </c>
      <c r="Q68" t="s">
        <v>671</v>
      </c>
      <c r="R68" t="s">
        <v>43</v>
      </c>
      <c r="S68" s="1">
        <v>46114</v>
      </c>
      <c r="T68" t="s">
        <v>266</v>
      </c>
      <c r="U68" t="s">
        <v>294</v>
      </c>
      <c r="V68">
        <v>4</v>
      </c>
    </row>
    <row r="69" spans="1:22">
      <c r="A69" s="2" t="str">
        <f>IF(C69="","",VLOOKUP(C69,[1]ISO辞書!A:C,2,FALSE))</f>
        <v>RUS</v>
      </c>
      <c r="B69" s="3" t="str">
        <f>IF(C69="","",VLOOKUP(C69,[1]ISO辞書!A:C,3,FALSE))</f>
        <v>Russian Federation</v>
      </c>
      <c r="C69" t="s">
        <v>285</v>
      </c>
      <c r="D69" t="s">
        <v>295</v>
      </c>
      <c r="E69" t="s">
        <v>672</v>
      </c>
      <c r="J69" t="s">
        <v>296</v>
      </c>
      <c r="M69" s="2" t="str">
        <f>IF(J69="","",VLOOKUP(J69,[1]ISO辞書!A:B,2,FALSE))</f>
        <v>MDG</v>
      </c>
      <c r="N69" s="2" t="str">
        <f>IF(K69="","",VLOOKUP(K69,[1]ISO辞書!A:B,2,FALSE))</f>
        <v/>
      </c>
      <c r="O69" s="2" t="str">
        <f>IF(L69="","",VLOOKUP(L69,[1]ISO辞書!A:B,2,FALSE))</f>
        <v/>
      </c>
      <c r="P69" s="3" t="str">
        <f t="shared" si="1"/>
        <v>MDG</v>
      </c>
      <c r="Q69" t="s">
        <v>673</v>
      </c>
      <c r="R69" t="s">
        <v>43</v>
      </c>
      <c r="S69" s="1">
        <v>46114</v>
      </c>
      <c r="T69" t="s">
        <v>266</v>
      </c>
      <c r="U69" t="s">
        <v>297</v>
      </c>
      <c r="V69">
        <v>3</v>
      </c>
    </row>
    <row r="70" spans="1:22">
      <c r="A70" s="2" t="str">
        <f>IF(C70="","",VLOOKUP(C70,[1]ISO辞書!A:C,2,FALSE))</f>
        <v>ITA</v>
      </c>
      <c r="B70" s="3" t="str">
        <f>IF(C70="","",VLOOKUP(C70,[1]ISO辞書!A:C,3,FALSE))</f>
        <v>Italy</v>
      </c>
      <c r="C70" t="s">
        <v>126</v>
      </c>
      <c r="D70" t="s">
        <v>206</v>
      </c>
      <c r="E70" t="s">
        <v>674</v>
      </c>
      <c r="J70" t="s">
        <v>207</v>
      </c>
      <c r="K70" t="s">
        <v>208</v>
      </c>
      <c r="L70" t="s">
        <v>209</v>
      </c>
      <c r="M70" s="2" t="str">
        <f>IF(J70="","",VLOOKUP(J70,[1]ISO辞書!A:B,2,FALSE))</f>
        <v>SAU</v>
      </c>
      <c r="N70" s="2" t="str">
        <f>IF(K70="","",VLOOKUP(K70,[1]ISO辞書!A:B,2,FALSE))</f>
        <v>QAT</v>
      </c>
      <c r="O70" s="2" t="str">
        <f>IF(L70="","",VLOOKUP(L70,[1]ISO辞書!A:B,2,FALSE))</f>
        <v>ARE</v>
      </c>
      <c r="P70" s="3" t="str">
        <f t="shared" si="1"/>
        <v>SAU;QAT;ARE</v>
      </c>
      <c r="Q70" t="s">
        <v>675</v>
      </c>
      <c r="R70" t="s">
        <v>43</v>
      </c>
      <c r="S70" s="1">
        <v>46115</v>
      </c>
      <c r="T70" t="s">
        <v>121</v>
      </c>
      <c r="U70" t="s">
        <v>210</v>
      </c>
      <c r="V70">
        <v>3</v>
      </c>
    </row>
    <row r="71" spans="1:22">
      <c r="A71" s="2" t="str">
        <f>IF(C71="","",VLOOKUP(C71,[1]ISO辞書!A:C,2,FALSE))</f>
        <v>KOR</v>
      </c>
      <c r="B71" s="3" t="str">
        <f>IF(C71="","",VLOOKUP(C71,[1]ISO辞書!A:C,3,FALSE))</f>
        <v>Korea</v>
      </c>
      <c r="C71" t="s">
        <v>178</v>
      </c>
      <c r="D71" t="s">
        <v>211</v>
      </c>
      <c r="E71" t="s">
        <v>676</v>
      </c>
      <c r="J71" t="s">
        <v>158</v>
      </c>
      <c r="M71" s="2" t="str">
        <f>IF(J71="","",VLOOKUP(J71,[1]ISO辞書!A:B,2,FALSE))</f>
        <v>FRA</v>
      </c>
      <c r="N71" s="2" t="str">
        <f>IF(K71="","",VLOOKUP(K71,[1]ISO辞書!A:B,2,FALSE))</f>
        <v/>
      </c>
      <c r="O71" s="2" t="str">
        <f>IF(L71="","",VLOOKUP(L71,[1]ISO辞書!A:B,2,FALSE))</f>
        <v/>
      </c>
      <c r="P71" s="3" t="str">
        <f t="shared" si="1"/>
        <v>FRA</v>
      </c>
      <c r="R71" t="s">
        <v>43</v>
      </c>
      <c r="S71" s="1">
        <v>46115</v>
      </c>
      <c r="T71" t="s">
        <v>121</v>
      </c>
      <c r="U71" t="s">
        <v>212</v>
      </c>
      <c r="V71">
        <v>3</v>
      </c>
    </row>
    <row r="72" spans="1:22">
      <c r="A72" s="2" t="str">
        <f>IF(C72="","",VLOOKUP(C72,[1]ISO辞書!A:C,2,FALSE))</f>
        <v>RUS</v>
      </c>
      <c r="B72" s="3" t="str">
        <f>IF(C72="","",VLOOKUP(C72,[1]ISO辞書!A:C,3,FALSE))</f>
        <v>Russian Federation</v>
      </c>
      <c r="C72" t="s">
        <v>131</v>
      </c>
      <c r="D72" t="s">
        <v>227</v>
      </c>
      <c r="E72" t="s">
        <v>677</v>
      </c>
      <c r="J72" t="s">
        <v>204</v>
      </c>
      <c r="M72" s="2" t="str">
        <f>IF(J72="","",VLOOKUP(J72,[1]ISO辞書!A:B,2,FALSE))</f>
        <v>TUR</v>
      </c>
      <c r="N72" s="2" t="str">
        <f>IF(K72="","",VLOOKUP(K72,[1]ISO辞書!A:B,2,FALSE))</f>
        <v/>
      </c>
      <c r="O72" s="2" t="str">
        <f>IF(L72="","",VLOOKUP(L72,[1]ISO辞書!A:B,2,FALSE))</f>
        <v/>
      </c>
      <c r="P72" s="3" t="str">
        <f t="shared" si="1"/>
        <v>TUR</v>
      </c>
      <c r="Q72" t="s">
        <v>678</v>
      </c>
      <c r="R72" t="s">
        <v>43</v>
      </c>
      <c r="S72" s="1">
        <v>46115</v>
      </c>
      <c r="T72" t="s">
        <v>121</v>
      </c>
      <c r="U72" t="s">
        <v>228</v>
      </c>
      <c r="V72">
        <v>4</v>
      </c>
    </row>
    <row r="73" spans="1:22">
      <c r="A73" s="2" t="str">
        <f>IF(C73="","",VLOOKUP(C73,[1]ISO辞書!A:C,2,FALSE))</f>
        <v>JPN</v>
      </c>
      <c r="B73" s="3" t="str">
        <f>IF(C73="","",VLOOKUP(C73,[1]ISO辞書!A:C,3,FALSE))</f>
        <v>Japan</v>
      </c>
      <c r="C73" t="s">
        <v>229</v>
      </c>
      <c r="D73" t="s">
        <v>263</v>
      </c>
      <c r="E73" t="s">
        <v>679</v>
      </c>
      <c r="J73" t="s">
        <v>158</v>
      </c>
      <c r="K73" t="s">
        <v>230</v>
      </c>
      <c r="L73" t="s">
        <v>140</v>
      </c>
      <c r="M73" s="2" t="str">
        <f>IF(J73="","",VLOOKUP(J73,[1]ISO辞書!A:B,2,FALSE))</f>
        <v>FRA</v>
      </c>
      <c r="N73" s="2" t="str">
        <f>IF(K73="","",VLOOKUP(K73,[1]ISO辞書!A:B,2,FALSE))</f>
        <v>OMN</v>
      </c>
      <c r="O73" s="2" t="str">
        <f>IF(L73="","",VLOOKUP(L73,[1]ISO辞書!A:B,2,FALSE))</f>
        <v>IRN</v>
      </c>
      <c r="P73" s="3" t="str">
        <f t="shared" si="1"/>
        <v>FRA;OMN;IRN</v>
      </c>
      <c r="Q73" t="s">
        <v>680</v>
      </c>
      <c r="R73" t="s">
        <v>133</v>
      </c>
      <c r="S73" s="1">
        <v>46115</v>
      </c>
      <c r="T73" t="s">
        <v>121</v>
      </c>
      <c r="U73" t="s">
        <v>231</v>
      </c>
      <c r="V73">
        <v>4</v>
      </c>
    </row>
    <row r="74" spans="1:22">
      <c r="A74" s="2" t="str">
        <f>IF(C74="","",VLOOKUP(C74,[1]ISO辞書!A:C,2,FALSE))</f>
        <v>ETH</v>
      </c>
      <c r="B74" s="3" t="str">
        <f>IF(C74="","",VLOOKUP(C74,[1]ISO辞書!A:C,3,FALSE))</f>
        <v>Ethiopia</v>
      </c>
      <c r="C74" t="s">
        <v>243</v>
      </c>
      <c r="D74" t="s">
        <v>244</v>
      </c>
      <c r="E74" t="s">
        <v>681</v>
      </c>
      <c r="J74" t="s">
        <v>245</v>
      </c>
      <c r="M74" s="2" t="str">
        <f>IF(J74="","",VLOOKUP(J74,[1]ISO辞書!A:B,2,FALSE))</f>
        <v>CHN</v>
      </c>
      <c r="N74" s="2" t="str">
        <f>IF(K74="","",VLOOKUP(K74,[1]ISO辞書!A:B,2,FALSE))</f>
        <v/>
      </c>
      <c r="O74" s="2" t="str">
        <f>IF(L74="","",VLOOKUP(L74,[1]ISO辞書!A:B,2,FALSE))</f>
        <v/>
      </c>
      <c r="P74" s="3" t="str">
        <f t="shared" si="1"/>
        <v>CHN</v>
      </c>
      <c r="Q74" t="s">
        <v>682</v>
      </c>
      <c r="R74" t="s">
        <v>246</v>
      </c>
      <c r="S74" s="1">
        <v>46115</v>
      </c>
      <c r="T74" t="s">
        <v>121</v>
      </c>
      <c r="U74" t="s">
        <v>247</v>
      </c>
      <c r="V74">
        <v>3</v>
      </c>
    </row>
    <row r="75" spans="1:22">
      <c r="A75" s="2" t="str">
        <f>IF(C75="","",VLOOKUP(C75,[1]ISO辞書!A:C,2,FALSE))</f>
        <v>CHN</v>
      </c>
      <c r="B75" s="3" t="str">
        <f>IF(C75="","",VLOOKUP(C75,[1]ISO辞書!A:C,3,FALSE))</f>
        <v>China</v>
      </c>
      <c r="C75" t="s">
        <v>245</v>
      </c>
      <c r="D75" t="s">
        <v>257</v>
      </c>
      <c r="E75" t="s">
        <v>683</v>
      </c>
      <c r="M75" s="2" t="str">
        <f>IF(J75="","",VLOOKUP(J75,[1]ISO辞書!A:B,2,FALSE))</f>
        <v/>
      </c>
      <c r="N75" s="2" t="str">
        <f>IF(K75="","",VLOOKUP(K75,[1]ISO辞書!A:B,2,FALSE))</f>
        <v/>
      </c>
      <c r="O75" s="2" t="str">
        <f>IF(L75="","",VLOOKUP(L75,[1]ISO辞書!A:B,2,FALSE))</f>
        <v/>
      </c>
      <c r="P75" s="3" t="str">
        <f t="shared" si="1"/>
        <v/>
      </c>
      <c r="Q75" t="s">
        <v>684</v>
      </c>
      <c r="R75" t="s">
        <v>64</v>
      </c>
      <c r="S75" s="1">
        <v>46115</v>
      </c>
      <c r="T75" t="s">
        <v>121</v>
      </c>
      <c r="U75" t="s">
        <v>258</v>
      </c>
      <c r="V75">
        <v>3</v>
      </c>
    </row>
    <row r="76" spans="1:22">
      <c r="A76" s="2" t="str">
        <f>IF(C76="","",VLOOKUP(C76,[1]ISO辞書!A:C,2,FALSE))</f>
        <v>RUS</v>
      </c>
      <c r="B76" s="3" t="str">
        <f>IF(C76="","",VLOOKUP(C76,[1]ISO辞書!A:C,3,FALSE))</f>
        <v>Russian Federation</v>
      </c>
      <c r="C76" t="s">
        <v>285</v>
      </c>
      <c r="D76" t="s">
        <v>286</v>
      </c>
      <c r="J76" t="s">
        <v>270</v>
      </c>
      <c r="K76" t="s">
        <v>271</v>
      </c>
      <c r="M76" s="2" t="str">
        <f>IF(J76="","",VLOOKUP(J76,[1]ISO辞書!A:B,2,FALSE))</f>
        <v>IRN</v>
      </c>
      <c r="N76" s="2" t="str">
        <f>IF(K76="","",VLOOKUP(K76,[1]ISO辞書!A:B,2,FALSE))</f>
        <v>USA</v>
      </c>
      <c r="O76" s="2" t="str">
        <f>IF(L76="","",VLOOKUP(L76,[1]ISO辞書!A:B,2,FALSE))</f>
        <v/>
      </c>
      <c r="P76" s="3" t="str">
        <f t="shared" si="1"/>
        <v>IRN;USA</v>
      </c>
      <c r="Q76" t="s">
        <v>250</v>
      </c>
      <c r="R76" t="s">
        <v>55</v>
      </c>
      <c r="S76" s="1">
        <v>46115</v>
      </c>
      <c r="T76" t="s">
        <v>266</v>
      </c>
      <c r="U76" t="s">
        <v>287</v>
      </c>
      <c r="V76">
        <v>4</v>
      </c>
    </row>
    <row r="77" spans="1:22">
      <c r="A77" s="2" t="str">
        <f>IF(C77="","",VLOOKUP(C77,[1]ISO辞書!A:C,2,FALSE))</f>
        <v>MMR</v>
      </c>
      <c r="B77" s="3" t="str">
        <f>IF(C77="","",VLOOKUP(C77,[1]ISO辞書!A:C,3,FALSE))</f>
        <v>Myanmar</v>
      </c>
      <c r="C77" t="s">
        <v>288</v>
      </c>
      <c r="D77" t="s">
        <v>289</v>
      </c>
      <c r="E77" t="s">
        <v>685</v>
      </c>
      <c r="M77" s="2" t="str">
        <f>IF(J77="","",VLOOKUP(J77,[1]ISO辞書!A:B,2,FALSE))</f>
        <v/>
      </c>
      <c r="N77" s="2" t="str">
        <f>IF(K77="","",VLOOKUP(K77,[1]ISO辞書!A:B,2,FALSE))</f>
        <v/>
      </c>
      <c r="O77" s="2" t="str">
        <f>IF(L77="","",VLOOKUP(L77,[1]ISO辞書!A:B,2,FALSE))</f>
        <v/>
      </c>
      <c r="P77" s="3" t="str">
        <f t="shared" si="1"/>
        <v/>
      </c>
      <c r="Q77" t="s">
        <v>686</v>
      </c>
      <c r="R77" t="s">
        <v>64</v>
      </c>
      <c r="S77" s="1">
        <v>46115</v>
      </c>
      <c r="T77" t="s">
        <v>266</v>
      </c>
      <c r="U77" t="s">
        <v>290</v>
      </c>
      <c r="V77">
        <v>2</v>
      </c>
    </row>
    <row r="78" spans="1:22">
      <c r="A78" s="2" t="str">
        <f>IF(C78="","",VLOOKUP(C78,[1]ISO辞書!A:C,2,FALSE))</f>
        <v>AFG</v>
      </c>
      <c r="B78" s="3" t="str">
        <f>IF(C78="","",VLOOKUP(C78,[1]ISO辞書!A:C,3,FALSE))</f>
        <v>Afghanistan</v>
      </c>
      <c r="C78" t="s">
        <v>306</v>
      </c>
      <c r="D78" t="s">
        <v>307</v>
      </c>
      <c r="E78" t="s">
        <v>687</v>
      </c>
      <c r="M78" s="2" t="str">
        <f>IF(J78="","",VLOOKUP(J78,[1]ISO辞書!A:B,2,FALSE))</f>
        <v/>
      </c>
      <c r="N78" s="2" t="str">
        <f>IF(K78="","",VLOOKUP(K78,[1]ISO辞書!A:B,2,FALSE))</f>
        <v/>
      </c>
      <c r="O78" s="2" t="str">
        <f>IF(L78="","",VLOOKUP(L78,[1]ISO辞書!A:B,2,FALSE))</f>
        <v/>
      </c>
      <c r="P78" s="3" t="str">
        <f t="shared" si="1"/>
        <v/>
      </c>
      <c r="R78" t="s">
        <v>65</v>
      </c>
      <c r="S78" s="1">
        <v>46115</v>
      </c>
      <c r="T78" t="s">
        <v>300</v>
      </c>
      <c r="U78" t="s">
        <v>308</v>
      </c>
      <c r="V78">
        <v>2</v>
      </c>
    </row>
    <row r="79" spans="1:22">
      <c r="A79" s="2" t="str">
        <f>IF(C79="","",VLOOKUP(C79,[1]ISO辞書!A:C,2,FALSE))</f>
        <v>GRC</v>
      </c>
      <c r="B79" s="3" t="str">
        <f>IF(C79="","",VLOOKUP(C79,[1]ISO辞書!A:C,3,FALSE))</f>
        <v>Greece</v>
      </c>
      <c r="C79" t="s">
        <v>309</v>
      </c>
      <c r="D79" t="s">
        <v>310</v>
      </c>
      <c r="E79" t="s">
        <v>688</v>
      </c>
      <c r="M79" s="2" t="str">
        <f>IF(J79="","",VLOOKUP(J79,[1]ISO辞書!A:B,2,FALSE))</f>
        <v/>
      </c>
      <c r="N79" s="2" t="str">
        <f>IF(K79="","",VLOOKUP(K79,[1]ISO辞書!A:B,2,FALSE))</f>
        <v/>
      </c>
      <c r="O79" s="2" t="str">
        <f>IF(L79="","",VLOOKUP(L79,[1]ISO辞書!A:B,2,FALSE))</f>
        <v/>
      </c>
      <c r="P79" s="3" t="str">
        <f t="shared" si="1"/>
        <v/>
      </c>
      <c r="R79" t="s">
        <v>64</v>
      </c>
      <c r="S79" s="1">
        <v>46115</v>
      </c>
      <c r="T79" t="s">
        <v>300</v>
      </c>
      <c r="U79" t="s">
        <v>311</v>
      </c>
      <c r="V79">
        <v>2</v>
      </c>
    </row>
    <row r="80" spans="1:22">
      <c r="A80" s="2" t="str">
        <f>IF(C80="","",VLOOKUP(C80,[1]ISO辞書!A:C,2,FALSE))</f>
        <v>UKR</v>
      </c>
      <c r="B80" s="3" t="str">
        <f>IF(C80="","",VLOOKUP(C80,[1]ISO辞書!A:C,3,FALSE))</f>
        <v>Ukraine</v>
      </c>
      <c r="C80" t="s">
        <v>150</v>
      </c>
      <c r="D80" t="s">
        <v>203</v>
      </c>
      <c r="E80" t="s">
        <v>689</v>
      </c>
      <c r="J80" t="s">
        <v>204</v>
      </c>
      <c r="M80" s="2" t="str">
        <f>IF(J80="","",VLOOKUP(J80,[1]ISO辞書!A:B,2,FALSE))</f>
        <v>TUR</v>
      </c>
      <c r="N80" s="2" t="str">
        <f>IF(K80="","",VLOOKUP(K80,[1]ISO辞書!A:B,2,FALSE))</f>
        <v/>
      </c>
      <c r="O80" s="2" t="str">
        <f>IF(L80="","",VLOOKUP(L80,[1]ISO辞書!A:B,2,FALSE))</f>
        <v/>
      </c>
      <c r="P80" s="3" t="str">
        <f t="shared" si="1"/>
        <v>TUR</v>
      </c>
      <c r="Q80" t="s">
        <v>690</v>
      </c>
      <c r="R80" t="s">
        <v>60</v>
      </c>
      <c r="S80" s="1">
        <v>46116</v>
      </c>
      <c r="T80" t="s">
        <v>121</v>
      </c>
      <c r="U80" s="5" t="s">
        <v>205</v>
      </c>
      <c r="V80">
        <v>4</v>
      </c>
    </row>
    <row r="81" spans="1:22">
      <c r="A81" s="2" t="str">
        <f>IF(C81="","",VLOOKUP(C81,[1]ISO辞書!A:C,2,FALSE))</f>
        <v>IRN</v>
      </c>
      <c r="B81" s="3" t="str">
        <f>IF(C81="","",VLOOKUP(C81,[1]ISO辞書!A:C,3,FALSE))</f>
        <v>Iran</v>
      </c>
      <c r="C81" t="s">
        <v>140</v>
      </c>
      <c r="D81" t="s">
        <v>222</v>
      </c>
      <c r="E81" t="s">
        <v>691</v>
      </c>
      <c r="M81" s="2" t="str">
        <f>IF(J81="","",VLOOKUP(J81,[1]ISO辞書!A:B,2,FALSE))</f>
        <v/>
      </c>
      <c r="N81" s="2" t="str">
        <f>IF(K81="","",VLOOKUP(K81,[1]ISO辞書!A:B,2,FALSE))</f>
        <v/>
      </c>
      <c r="O81" s="2" t="str">
        <f>IF(L81="","",VLOOKUP(L81,[1]ISO辞書!A:B,2,FALSE))</f>
        <v/>
      </c>
      <c r="P81" s="3" t="str">
        <f t="shared" si="1"/>
        <v/>
      </c>
      <c r="Q81" t="s">
        <v>692</v>
      </c>
      <c r="R81" t="s">
        <v>64</v>
      </c>
      <c r="S81" s="1">
        <v>46116</v>
      </c>
      <c r="T81" t="s">
        <v>121</v>
      </c>
      <c r="U81" t="s">
        <v>223</v>
      </c>
      <c r="V81">
        <v>3</v>
      </c>
    </row>
    <row r="82" spans="1:22">
      <c r="A82" s="2" t="str">
        <f>IF(C82="","",VLOOKUP(C82,[1]ISO辞書!A:C,2,FALSE))</f>
        <v>IND</v>
      </c>
      <c r="B82" s="3" t="str">
        <f>IF(C82="","",VLOOKUP(C82,[1]ISO辞書!A:C,3,FALSE))</f>
        <v>India</v>
      </c>
      <c r="C82" t="s">
        <v>224</v>
      </c>
      <c r="D82" t="s">
        <v>225</v>
      </c>
      <c r="E82" t="s">
        <v>693</v>
      </c>
      <c r="J82" t="s">
        <v>140</v>
      </c>
      <c r="M82" s="2" t="str">
        <f>IF(J82="","",VLOOKUP(J82,[1]ISO辞書!A:B,2,FALSE))</f>
        <v>IRN</v>
      </c>
      <c r="N82" s="2" t="str">
        <f>IF(K82="","",VLOOKUP(K82,[1]ISO辞書!A:B,2,FALSE))</f>
        <v/>
      </c>
      <c r="O82" s="2" t="str">
        <f>IF(L82="","",VLOOKUP(L82,[1]ISO辞書!A:B,2,FALSE))</f>
        <v/>
      </c>
      <c r="P82" s="3" t="str">
        <f t="shared" si="1"/>
        <v>IRN</v>
      </c>
      <c r="Q82" t="s">
        <v>694</v>
      </c>
      <c r="R82" t="s">
        <v>133</v>
      </c>
      <c r="S82" s="1">
        <v>46116</v>
      </c>
      <c r="T82" t="s">
        <v>121</v>
      </c>
      <c r="U82" t="s">
        <v>226</v>
      </c>
      <c r="V82">
        <v>4</v>
      </c>
    </row>
    <row r="83" spans="1:22">
      <c r="A83" s="2" t="str">
        <f>IF(C83="","",VLOOKUP(C83,[1]ISO辞書!A:C,2,FALSE))</f>
        <v>COD</v>
      </c>
      <c r="B83" s="3" t="str">
        <f>IF(C83="","",VLOOKUP(C83,[1]ISO辞書!A:C,3,FALSE))</f>
        <v>Democratic Republic of the Congo</v>
      </c>
      <c r="C83" t="s">
        <v>277</v>
      </c>
      <c r="D83" t="s">
        <v>278</v>
      </c>
      <c r="E83" t="s">
        <v>695</v>
      </c>
      <c r="J83" t="s">
        <v>271</v>
      </c>
      <c r="M83" s="2" t="str">
        <f>IF(J83="","",VLOOKUP(J83,[1]ISO辞書!A:B,2,FALSE))</f>
        <v>USA</v>
      </c>
      <c r="N83" s="2" t="str">
        <f>IF(K83="","",VLOOKUP(K83,[1]ISO辞書!A:B,2,FALSE))</f>
        <v/>
      </c>
      <c r="O83" s="2" t="str">
        <f>IF(L83="","",VLOOKUP(L83,[1]ISO辞書!A:B,2,FALSE))</f>
        <v/>
      </c>
      <c r="P83" s="3" t="str">
        <f t="shared" si="1"/>
        <v>USA</v>
      </c>
      <c r="R83" t="s">
        <v>43</v>
      </c>
      <c r="S83" s="1">
        <v>46117</v>
      </c>
      <c r="T83" t="s">
        <v>266</v>
      </c>
      <c r="U83" t="s">
        <v>279</v>
      </c>
      <c r="V83">
        <v>4</v>
      </c>
    </row>
    <row r="84" spans="1:22">
      <c r="A84" s="2" t="str">
        <f>IF(C84="","",VLOOKUP(C84,[1]ISO辞書!A:C,2,FALSE))</f>
        <v>IRN</v>
      </c>
      <c r="B84" s="3" t="str">
        <f>IF(C84="","",VLOOKUP(C84,[1]ISO辞書!A:C,3,FALSE))</f>
        <v>Iran</v>
      </c>
      <c r="C84" t="s">
        <v>270</v>
      </c>
      <c r="D84" t="s">
        <v>280</v>
      </c>
      <c r="E84" t="s">
        <v>696</v>
      </c>
      <c r="J84" t="s">
        <v>281</v>
      </c>
      <c r="M84" s="2" t="str">
        <f>IF(J84="","",VLOOKUP(J84,[1]ISO辞書!A:B,2,FALSE))</f>
        <v>ARE</v>
      </c>
      <c r="N84" s="2" t="str">
        <f>IF(K84="","",VLOOKUP(K84,[1]ISO辞書!A:B,2,FALSE))</f>
        <v/>
      </c>
      <c r="O84" s="2" t="str">
        <f>IF(L84="","",VLOOKUP(L84,[1]ISO辞書!A:B,2,FALSE))</f>
        <v/>
      </c>
      <c r="P84" s="3" t="str">
        <f t="shared" si="1"/>
        <v>ARE</v>
      </c>
      <c r="Q84" t="s">
        <v>697</v>
      </c>
      <c r="R84" t="s">
        <v>55</v>
      </c>
      <c r="S84" s="1">
        <v>46117</v>
      </c>
      <c r="T84" t="s">
        <v>266</v>
      </c>
      <c r="U84" t="s">
        <v>282</v>
      </c>
      <c r="V84">
        <v>4</v>
      </c>
    </row>
    <row r="85" spans="1:22">
      <c r="A85" s="2" t="str">
        <f>IF(C85="","",VLOOKUP(C85,[1]ISO辞書!A:C,2,FALSE))</f>
        <v>USA</v>
      </c>
      <c r="B85" s="3" t="str">
        <f>IF(C85="","",VLOOKUP(C85,[1]ISO辞書!A:C,3,FALSE))</f>
        <v>America</v>
      </c>
      <c r="C85" t="s">
        <v>271</v>
      </c>
      <c r="D85" t="s">
        <v>283</v>
      </c>
      <c r="E85" t="s">
        <v>699</v>
      </c>
      <c r="J85" t="s">
        <v>270</v>
      </c>
      <c r="M85" s="2" t="str">
        <f>IF(J85="","",VLOOKUP(J85,[1]ISO辞書!A:B,2,FALSE))</f>
        <v>IRN</v>
      </c>
      <c r="N85" s="2" t="str">
        <f>IF(K85="","",VLOOKUP(K85,[1]ISO辞書!A:B,2,FALSE))</f>
        <v/>
      </c>
      <c r="O85" s="2" t="str">
        <f>IF(L85="","",VLOOKUP(L85,[1]ISO辞書!A:B,2,FALSE))</f>
        <v/>
      </c>
      <c r="P85" s="3" t="str">
        <f t="shared" si="1"/>
        <v>IRN</v>
      </c>
      <c r="Q85" t="s">
        <v>698</v>
      </c>
      <c r="R85" t="s">
        <v>64</v>
      </c>
      <c r="S85" s="1">
        <v>46117</v>
      </c>
      <c r="T85" t="s">
        <v>266</v>
      </c>
      <c r="U85" t="s">
        <v>284</v>
      </c>
      <c r="V85">
        <v>3</v>
      </c>
    </row>
    <row r="86" spans="1:22">
      <c r="A86" s="2" t="str">
        <f>IF(C86="","",VLOOKUP(C86,[1]ISO辞書!A:C,2,FALSE))</f>
        <v>UKR</v>
      </c>
      <c r="B86" s="3" t="str">
        <f>IF(C86="","",VLOOKUP(C86,[1]ISO辞書!A:C,3,FALSE))</f>
        <v>Ukraine</v>
      </c>
      <c r="C86" t="s">
        <v>312</v>
      </c>
      <c r="D86" t="s">
        <v>313</v>
      </c>
      <c r="E86" t="s">
        <v>700</v>
      </c>
      <c r="J86" t="s">
        <v>285</v>
      </c>
      <c r="M86" s="2" t="str">
        <f>IF(J86="","",VLOOKUP(J86,[1]ISO辞書!A:B,2,FALSE))</f>
        <v>RUS</v>
      </c>
      <c r="N86" s="2" t="str">
        <f>IF(K86="","",VLOOKUP(K86,[1]ISO辞書!A:B,2,FALSE))</f>
        <v/>
      </c>
      <c r="O86" s="2" t="str">
        <f>IF(L86="","",VLOOKUP(L86,[1]ISO辞書!A:B,2,FALSE))</f>
        <v/>
      </c>
      <c r="P86" s="3" t="str">
        <f t="shared" si="1"/>
        <v>RUS</v>
      </c>
      <c r="R86" t="s">
        <v>55</v>
      </c>
      <c r="S86" s="1">
        <v>46117</v>
      </c>
      <c r="T86" t="s">
        <v>300</v>
      </c>
      <c r="U86" t="s">
        <v>314</v>
      </c>
      <c r="V86">
        <v>3</v>
      </c>
    </row>
    <row r="87" spans="1:22">
      <c r="A87" s="2" t="str">
        <f>IF(C87="","",VLOOKUP(C87,[1]ISO辞書!A:C,2,FALSE))</f>
        <v>UKR</v>
      </c>
      <c r="B87" s="3" t="str">
        <f>IF(C87="","",VLOOKUP(C87,[1]ISO辞書!A:C,3,FALSE))</f>
        <v>Ukraine</v>
      </c>
      <c r="C87" t="s">
        <v>312</v>
      </c>
      <c r="D87" t="s">
        <v>324</v>
      </c>
      <c r="E87" t="s">
        <v>701</v>
      </c>
      <c r="J87" t="s">
        <v>325</v>
      </c>
      <c r="M87" s="2" t="str">
        <f>IF(J87="","",VLOOKUP(J87,[1]ISO辞書!A:B,2,FALSE))</f>
        <v>SYR</v>
      </c>
      <c r="N87" s="2" t="str">
        <f>IF(K87="","",VLOOKUP(K87,[1]ISO辞書!A:B,2,FALSE))</f>
        <v/>
      </c>
      <c r="O87" s="2" t="str">
        <f>IF(L87="","",VLOOKUP(L87,[1]ISO辞書!A:B,2,FALSE))</f>
        <v/>
      </c>
      <c r="P87" s="3" t="str">
        <f t="shared" si="1"/>
        <v>SYR</v>
      </c>
      <c r="Q87" t="s">
        <v>702</v>
      </c>
      <c r="R87" t="s">
        <v>60</v>
      </c>
      <c r="S87" s="1">
        <v>46117</v>
      </c>
      <c r="T87" t="s">
        <v>300</v>
      </c>
      <c r="U87" t="s">
        <v>326</v>
      </c>
      <c r="V87">
        <v>4</v>
      </c>
    </row>
    <row r="88" spans="1:22">
      <c r="A88" s="2" t="str">
        <f>IF(C88="","",VLOOKUP(C88,[1]ISO辞書!A:C,2,FALSE))</f>
        <v>USA</v>
      </c>
      <c r="B88" s="3" t="str">
        <f>IF(C88="","",VLOOKUP(C88,[1]ISO辞書!A:C,3,FALSE))</f>
        <v>America</v>
      </c>
      <c r="C88" t="s">
        <v>271</v>
      </c>
      <c r="D88" t="s">
        <v>320</v>
      </c>
      <c r="E88" t="s">
        <v>703</v>
      </c>
      <c r="J88" t="s">
        <v>270</v>
      </c>
      <c r="M88" s="2" t="str">
        <f>IF(J88="","",VLOOKUP(J88,[1]ISO辞書!A:B,2,FALSE))</f>
        <v>IRN</v>
      </c>
      <c r="N88" s="2" t="str">
        <f>IF(K88="","",VLOOKUP(K88,[1]ISO辞書!A:B,2,FALSE))</f>
        <v/>
      </c>
      <c r="O88" s="2" t="str">
        <f>IF(L88="","",VLOOKUP(L88,[1]ISO辞書!A:B,2,FALSE))</f>
        <v/>
      </c>
      <c r="P88" s="3" t="str">
        <f t="shared" si="1"/>
        <v>IRN</v>
      </c>
      <c r="Q88" t="s">
        <v>704</v>
      </c>
      <c r="R88" t="s">
        <v>55</v>
      </c>
      <c r="S88" s="1">
        <v>46118</v>
      </c>
      <c r="T88" t="s">
        <v>300</v>
      </c>
      <c r="U88" s="5" t="s">
        <v>321</v>
      </c>
      <c r="V88">
        <v>4</v>
      </c>
    </row>
    <row r="89" spans="1:22">
      <c r="A89" s="2" t="str">
        <f>IF(C89="","",VLOOKUP(C89,[1]ISO辞書!A:C,2,FALSE))</f>
        <v>IRN</v>
      </c>
      <c r="B89" s="3" t="str">
        <f>IF(C89="","",VLOOKUP(C89,[1]ISO辞書!A:C,3,FALSE))</f>
        <v>Iran</v>
      </c>
      <c r="C89" t="s">
        <v>270</v>
      </c>
      <c r="D89" t="s">
        <v>322</v>
      </c>
      <c r="E89" t="s">
        <v>705</v>
      </c>
      <c r="J89" t="s">
        <v>271</v>
      </c>
      <c r="M89" s="2" t="str">
        <f>IF(J89="","",VLOOKUP(J89,[1]ISO辞書!A:B,2,FALSE))</f>
        <v>USA</v>
      </c>
      <c r="N89" s="2" t="str">
        <f>IF(K89="","",VLOOKUP(K89,[1]ISO辞書!A:B,2,FALSE))</f>
        <v/>
      </c>
      <c r="O89" s="2" t="str">
        <f>IF(L89="","",VLOOKUP(L89,[1]ISO辞書!A:B,2,FALSE))</f>
        <v/>
      </c>
      <c r="P89" s="3" t="str">
        <f t="shared" si="1"/>
        <v>USA</v>
      </c>
      <c r="Q89" t="s">
        <v>706</v>
      </c>
      <c r="R89" t="s">
        <v>55</v>
      </c>
      <c r="S89" s="1">
        <v>46118</v>
      </c>
      <c r="T89" t="s">
        <v>300</v>
      </c>
      <c r="U89" t="s">
        <v>323</v>
      </c>
      <c r="V89">
        <v>5</v>
      </c>
    </row>
    <row r="90" spans="1:22">
      <c r="A90" s="2" t="str">
        <f>IF(C90="","",VLOOKUP(C90,[1]ISO辞書!A:C,2,FALSE))</f>
        <v>CHN</v>
      </c>
      <c r="B90" s="3" t="str">
        <f>IF(C90="","",VLOOKUP(C90,[1]ISO辞書!A:C,3,FALSE))</f>
        <v>China</v>
      </c>
      <c r="C90" t="s">
        <v>264</v>
      </c>
      <c r="D90" t="s">
        <v>265</v>
      </c>
      <c r="E90" s="2" t="s">
        <v>720</v>
      </c>
      <c r="M90" s="2" t="str">
        <f>IF(J90="","",VLOOKUP(J90,[1]ISO辞書!A:B,2,FALSE))</f>
        <v/>
      </c>
      <c r="N90" s="2" t="str">
        <f>IF(K90="","",VLOOKUP(K90,[1]ISO辞書!A:B,2,FALSE))</f>
        <v/>
      </c>
      <c r="O90" s="2" t="str">
        <f>IF(L90="","",VLOOKUP(L90,[1]ISO辞書!A:B,2,FALSE))</f>
        <v/>
      </c>
      <c r="P90" s="3" t="str">
        <f t="shared" si="1"/>
        <v/>
      </c>
      <c r="Q90" t="s">
        <v>721</v>
      </c>
      <c r="R90" t="s">
        <v>246</v>
      </c>
      <c r="S90" s="1">
        <v>46119</v>
      </c>
      <c r="T90" t="s">
        <v>266</v>
      </c>
      <c r="U90" t="s">
        <v>267</v>
      </c>
      <c r="V90">
        <v>3</v>
      </c>
    </row>
    <row r="91" spans="1:22">
      <c r="A91" s="2" t="str">
        <f>IF(C91="","",VLOOKUP(C91,[1]ISO辞書!A:C,2,FALSE))</f>
        <v>PAK</v>
      </c>
      <c r="B91" s="3" t="str">
        <f>IF(C91="","",VLOOKUP(C91,[1]ISO辞書!A:C,3,FALSE))</f>
        <v>Pakistan</v>
      </c>
      <c r="C91" t="s">
        <v>268</v>
      </c>
      <c r="D91" t="s">
        <v>722</v>
      </c>
      <c r="E91" t="s">
        <v>723</v>
      </c>
      <c r="J91" t="s">
        <v>269</v>
      </c>
      <c r="K91" t="s">
        <v>270</v>
      </c>
      <c r="L91" t="s">
        <v>271</v>
      </c>
      <c r="M91" s="2" t="str">
        <f>IF(J91="","",VLOOKUP(J91,[1]ISO辞書!A:B,2,FALSE))</f>
        <v>EGY</v>
      </c>
      <c r="N91" s="2" t="str">
        <f>IF(K91="","",VLOOKUP(K91,[1]ISO辞書!A:B,2,FALSE))</f>
        <v>IRN</v>
      </c>
      <c r="O91" s="2" t="str">
        <f>IF(L91="","",VLOOKUP(L91,[1]ISO辞書!A:B,2,FALSE))</f>
        <v>USA</v>
      </c>
      <c r="P91" s="3" t="str">
        <f t="shared" si="1"/>
        <v>EGY;IRN;USA</v>
      </c>
      <c r="Q91" t="s">
        <v>724</v>
      </c>
      <c r="R91" t="s">
        <v>272</v>
      </c>
      <c r="S91" s="1">
        <v>46119</v>
      </c>
      <c r="T91" t="s">
        <v>266</v>
      </c>
      <c r="U91" t="s">
        <v>273</v>
      </c>
      <c r="V91">
        <v>4</v>
      </c>
    </row>
    <row r="92" spans="1:22">
      <c r="A92" s="2" t="str">
        <f>IF(C92="","",VLOOKUP(C92,[1]ISO辞書!A:C,2,FALSE))</f>
        <v>VNM</v>
      </c>
      <c r="B92" s="3" t="str">
        <f>IF(C92="","",VLOOKUP(C92,[1]ISO辞書!A:C,3,FALSE))</f>
        <v>Viet Nam</v>
      </c>
      <c r="C92" t="s">
        <v>274</v>
      </c>
      <c r="D92" t="s">
        <v>275</v>
      </c>
      <c r="E92" t="s">
        <v>725</v>
      </c>
      <c r="M92" s="2" t="str">
        <f>IF(J92="","",VLOOKUP(J92,[1]ISO辞書!A:B,2,FALSE))</f>
        <v/>
      </c>
      <c r="N92" s="2" t="str">
        <f>IF(K92="","",VLOOKUP(K92,[1]ISO辞書!A:B,2,FALSE))</f>
        <v/>
      </c>
      <c r="O92" s="2" t="str">
        <f>IF(L92="","",VLOOKUP(L92,[1]ISO辞書!A:B,2,FALSE))</f>
        <v/>
      </c>
      <c r="P92" s="3" t="str">
        <f t="shared" si="1"/>
        <v/>
      </c>
      <c r="Q92" t="s">
        <v>726</v>
      </c>
      <c r="R92" t="s">
        <v>64</v>
      </c>
      <c r="S92" s="1">
        <v>46119</v>
      </c>
      <c r="T92" t="s">
        <v>266</v>
      </c>
      <c r="U92" t="s">
        <v>276</v>
      </c>
      <c r="V92">
        <v>2</v>
      </c>
    </row>
    <row r="93" spans="1:22">
      <c r="A93" s="2" t="str">
        <f>IF(C93="","",VLOOKUP(C93,[1]ISO辞書!A:C,2,FALSE))</f>
        <v>SSD</v>
      </c>
      <c r="B93" s="3" t="str">
        <f>IF(C93="","",VLOOKUP(C93,[1]ISO辞書!A:C,3,FALSE))</f>
        <v>South Sudan</v>
      </c>
      <c r="C93" t="s">
        <v>298</v>
      </c>
      <c r="D93" t="s">
        <v>299</v>
      </c>
      <c r="E93" t="s">
        <v>707</v>
      </c>
      <c r="M93" s="2" t="str">
        <f>IF(J93="","",VLOOKUP(J93,[1]ISO辞書!A:B,2,FALSE))</f>
        <v/>
      </c>
      <c r="N93" s="2" t="str">
        <f>IF(K93="","",VLOOKUP(K93,[1]ISO辞書!A:B,2,FALSE))</f>
        <v/>
      </c>
      <c r="O93" s="2" t="str">
        <f>IF(L93="","",VLOOKUP(L93,[1]ISO辞書!A:B,2,FALSE))</f>
        <v/>
      </c>
      <c r="P93" s="3" t="str">
        <f t="shared" si="1"/>
        <v/>
      </c>
      <c r="Q93" t="s">
        <v>708</v>
      </c>
      <c r="R93" t="s">
        <v>64</v>
      </c>
      <c r="S93" s="1">
        <v>46119</v>
      </c>
      <c r="T93" t="s">
        <v>300</v>
      </c>
      <c r="U93" t="s">
        <v>301</v>
      </c>
      <c r="V93">
        <v>2</v>
      </c>
    </row>
    <row r="94" spans="1:22">
      <c r="A94" s="2" t="str">
        <f>IF(C94="","",VLOOKUP(C94,[1]ISO辞書!A:C,2,FALSE))</f>
        <v>IRN</v>
      </c>
      <c r="B94" s="3" t="str">
        <f>IF(C94="","",VLOOKUP(C94,[1]ISO辞書!A:C,3,FALSE))</f>
        <v>Iran</v>
      </c>
      <c r="C94" t="s">
        <v>270</v>
      </c>
      <c r="D94" t="s">
        <v>315</v>
      </c>
      <c r="E94" t="s">
        <v>727</v>
      </c>
      <c r="J94" t="s">
        <v>316</v>
      </c>
      <c r="M94" s="2" t="str">
        <f>IF(J94="","",VLOOKUP(J94,[1]ISO辞書!A:B,2,FALSE))</f>
        <v>SAU</v>
      </c>
      <c r="N94" s="2" t="str">
        <f>IF(K94="","",VLOOKUP(K94,[1]ISO辞書!A:B,2,FALSE))</f>
        <v/>
      </c>
      <c r="O94" s="2" t="str">
        <f>IF(L94="","",VLOOKUP(L94,[1]ISO辞書!A:B,2,FALSE))</f>
        <v/>
      </c>
      <c r="P94" s="3" t="str">
        <f t="shared" si="1"/>
        <v>SAU</v>
      </c>
      <c r="Q94" t="s">
        <v>728</v>
      </c>
      <c r="R94" t="s">
        <v>55</v>
      </c>
      <c r="S94" s="1">
        <v>46119</v>
      </c>
      <c r="T94" t="s">
        <v>300</v>
      </c>
      <c r="U94" t="s">
        <v>317</v>
      </c>
      <c r="V94">
        <v>4</v>
      </c>
    </row>
    <row r="95" spans="1:22">
      <c r="A95" s="2" t="str">
        <f>IF(C95="","",VLOOKUP(C95,[1]ISO辞書!A:C,2,FALSE))</f>
        <v>USA</v>
      </c>
      <c r="B95" s="3" t="str">
        <f>IF(C95="","",VLOOKUP(C95,[1]ISO辞書!A:C,3,FALSE))</f>
        <v>America</v>
      </c>
      <c r="C95" t="s">
        <v>271</v>
      </c>
      <c r="D95" t="s">
        <v>318</v>
      </c>
      <c r="E95" t="s">
        <v>729</v>
      </c>
      <c r="J95" t="s">
        <v>270</v>
      </c>
      <c r="M95" s="2" t="str">
        <f>IF(J95="","",VLOOKUP(J95,[1]ISO辞書!A:B,2,FALSE))</f>
        <v>IRN</v>
      </c>
      <c r="N95" s="2" t="str">
        <f>IF(K95="","",VLOOKUP(K95,[1]ISO辞書!A:B,2,FALSE))</f>
        <v/>
      </c>
      <c r="O95" s="2" t="str">
        <f>IF(L95="","",VLOOKUP(L95,[1]ISO辞書!A:B,2,FALSE))</f>
        <v/>
      </c>
      <c r="P95" s="3" t="str">
        <f t="shared" si="1"/>
        <v>IRN</v>
      </c>
      <c r="Q95" t="s">
        <v>730</v>
      </c>
      <c r="R95" t="s">
        <v>55</v>
      </c>
      <c r="S95" s="1">
        <v>46119</v>
      </c>
      <c r="T95" t="s">
        <v>300</v>
      </c>
      <c r="U95" t="s">
        <v>319</v>
      </c>
      <c r="V95">
        <v>4</v>
      </c>
    </row>
    <row r="96" spans="1:22">
      <c r="A96" s="2" t="str">
        <f>IF(C96="","",VLOOKUP(C96,[1]ISO辞書!A:C,2,FALSE))</f>
        <v>USA</v>
      </c>
      <c r="B96" s="3" t="str">
        <f>IF(C96="","",VLOOKUP(C96,[1]ISO辞書!A:C,3,FALSE))</f>
        <v>America</v>
      </c>
      <c r="C96" t="s">
        <v>132</v>
      </c>
      <c r="D96" t="s">
        <v>328</v>
      </c>
      <c r="E96" t="s">
        <v>731</v>
      </c>
      <c r="J96" t="s">
        <v>140</v>
      </c>
      <c r="K96" t="s">
        <v>166</v>
      </c>
      <c r="M96" s="2" t="str">
        <f>IF(J96="","",VLOOKUP(J96,[1]ISO辞書!A:B,2,FALSE))</f>
        <v>IRN</v>
      </c>
      <c r="N96" s="2" t="str">
        <f>IF(K96="","",VLOOKUP(K96,[1]ISO辞書!A:B,2,FALSE))</f>
        <v>PAK</v>
      </c>
      <c r="O96" s="2" t="str">
        <f>IF(L96="","",VLOOKUP(L96,[1]ISO辞書!A:B,2,FALSE))</f>
        <v/>
      </c>
      <c r="P96" s="3" t="str">
        <f t="shared" si="1"/>
        <v>IRN;PAK</v>
      </c>
      <c r="Q96" t="s">
        <v>732</v>
      </c>
      <c r="R96" t="s">
        <v>55</v>
      </c>
      <c r="S96" s="1">
        <v>46120</v>
      </c>
      <c r="T96" t="s">
        <v>134</v>
      </c>
      <c r="U96" t="s">
        <v>341</v>
      </c>
      <c r="V96">
        <v>5</v>
      </c>
    </row>
    <row r="97" spans="1:22">
      <c r="A97" s="2" t="str">
        <f>IF(C97="","",VLOOKUP(C97,[1]ISO辞書!A:C,2,FALSE))</f>
        <v>JPN</v>
      </c>
      <c r="B97" s="3" t="str">
        <f>IF(C97="","",VLOOKUP(C97,[1]ISO辞書!A:C,3,FALSE))</f>
        <v>Japan</v>
      </c>
      <c r="C97" t="s">
        <v>229</v>
      </c>
      <c r="D97" t="s">
        <v>331</v>
      </c>
      <c r="E97" t="s">
        <v>711</v>
      </c>
      <c r="J97" t="s">
        <v>140</v>
      </c>
      <c r="M97" s="2" t="str">
        <f>IF(J97="","",VLOOKUP(J97,[1]ISO辞書!A:B,2,FALSE))</f>
        <v>IRN</v>
      </c>
      <c r="N97" s="2" t="str">
        <f>IF(K97="","",VLOOKUP(K97,[1]ISO辞書!A:B,2,FALSE))</f>
        <v/>
      </c>
      <c r="O97" s="2" t="str">
        <f>IF(L97="","",VLOOKUP(L97,[1]ISO辞書!A:B,2,FALSE))</f>
        <v/>
      </c>
      <c r="P97" s="3" t="str">
        <f t="shared" si="1"/>
        <v>IRN</v>
      </c>
      <c r="Q97" t="s">
        <v>712</v>
      </c>
      <c r="R97" t="s">
        <v>55</v>
      </c>
      <c r="S97" s="1">
        <v>46120</v>
      </c>
      <c r="T97" t="s">
        <v>134</v>
      </c>
      <c r="U97" t="s">
        <v>344</v>
      </c>
      <c r="V97">
        <v>4</v>
      </c>
    </row>
    <row r="98" spans="1:22">
      <c r="A98" s="2" t="str">
        <f>IF(C98="","",VLOOKUP(C98,[1]ISO辞書!A:C,2,FALSE))</f>
        <v>MDG</v>
      </c>
      <c r="B98" s="3" t="str">
        <f>IF(C98="","",VLOOKUP(C98,[1]ISO辞書!A:C,3,FALSE))</f>
        <v>Madagascar</v>
      </c>
      <c r="C98" t="s">
        <v>296</v>
      </c>
      <c r="D98" t="s">
        <v>332</v>
      </c>
      <c r="E98" t="s">
        <v>713</v>
      </c>
      <c r="M98" s="2" t="str">
        <f>IF(J98="","",VLOOKUP(J98,[1]ISO辞書!A:B,2,FALSE))</f>
        <v/>
      </c>
      <c r="N98" s="2" t="str">
        <f>IF(K98="","",VLOOKUP(K98,[1]ISO辞書!A:B,2,FALSE))</f>
        <v/>
      </c>
      <c r="O98" s="2" t="str">
        <f>IF(L98="","",VLOOKUP(L98,[1]ISO辞書!A:B,2,FALSE))</f>
        <v/>
      </c>
      <c r="P98" s="3" t="str">
        <f t="shared" si="1"/>
        <v/>
      </c>
      <c r="Q98" t="s">
        <v>714</v>
      </c>
      <c r="R98" t="s">
        <v>64</v>
      </c>
      <c r="S98" s="1">
        <v>46120</v>
      </c>
      <c r="T98" t="s">
        <v>134</v>
      </c>
      <c r="U98" t="s">
        <v>345</v>
      </c>
      <c r="V98">
        <v>3</v>
      </c>
    </row>
    <row r="99" spans="1:22">
      <c r="A99" s="2" t="str">
        <f>IF(C99="","",VLOOKUP(C99,[1]ISO辞書!A:C,2,FALSE))</f>
        <v>RUS</v>
      </c>
      <c r="B99" s="3" t="str">
        <f>IF(C99="","",VLOOKUP(C99,[1]ISO辞書!A:C,3,FALSE))</f>
        <v>Russian Federation</v>
      </c>
      <c r="C99" t="s">
        <v>131</v>
      </c>
      <c r="D99" t="s">
        <v>333</v>
      </c>
      <c r="E99" t="s">
        <v>718</v>
      </c>
      <c r="J99" t="s">
        <v>245</v>
      </c>
      <c r="K99" t="s">
        <v>140</v>
      </c>
      <c r="L99" t="s">
        <v>132</v>
      </c>
      <c r="M99" s="2" t="str">
        <f>IF(J99="","",VLOOKUP(J99,[1]ISO辞書!A:B,2,FALSE))</f>
        <v>CHN</v>
      </c>
      <c r="N99" s="2" t="str">
        <f>IF(K99="","",VLOOKUP(K99,[1]ISO辞書!A:B,2,FALSE))</f>
        <v>IRN</v>
      </c>
      <c r="O99" s="2" t="str">
        <f>IF(L99="","",VLOOKUP(L99,[1]ISO辞書!A:B,2,FALSE))</f>
        <v>USA</v>
      </c>
      <c r="P99" s="3" t="str">
        <f t="shared" si="1"/>
        <v>CHN;IRN;USA</v>
      </c>
      <c r="Q99" t="s">
        <v>719</v>
      </c>
      <c r="R99" t="s">
        <v>55</v>
      </c>
      <c r="S99" s="1">
        <v>46120</v>
      </c>
      <c r="T99" t="s">
        <v>134</v>
      </c>
      <c r="U99" t="s">
        <v>346</v>
      </c>
      <c r="V99">
        <v>4</v>
      </c>
    </row>
    <row r="100" spans="1:22">
      <c r="A100" s="2" t="str">
        <f>IF(C100="","",VLOOKUP(C100,[1]ISO辞書!A:C,2,FALSE))</f>
        <v>MEX</v>
      </c>
      <c r="B100" s="3" t="str">
        <f>IF(C100="","",VLOOKUP(C100,[1]ISO辞書!A:C,3,FALSE))</f>
        <v>Mexico</v>
      </c>
      <c r="C100" t="s">
        <v>182</v>
      </c>
      <c r="D100" t="s">
        <v>334</v>
      </c>
      <c r="E100" t="s">
        <v>716</v>
      </c>
      <c r="M100" s="2" t="str">
        <f>IF(J100="","",VLOOKUP(J100,[1]ISO辞書!A:B,2,FALSE))</f>
        <v/>
      </c>
      <c r="N100" s="2" t="str">
        <f>IF(K100="","",VLOOKUP(K100,[1]ISO辞書!A:B,2,FALSE))</f>
        <v/>
      </c>
      <c r="O100" s="2" t="str">
        <f>IF(L100="","",VLOOKUP(L100,[1]ISO辞書!A:B,2,FALSE))</f>
        <v/>
      </c>
      <c r="P100" s="3" t="str">
        <f t="shared" si="1"/>
        <v/>
      </c>
      <c r="Q100" t="s">
        <v>717</v>
      </c>
      <c r="R100" t="s">
        <v>64</v>
      </c>
      <c r="S100" s="1">
        <v>46120</v>
      </c>
      <c r="T100" t="s">
        <v>121</v>
      </c>
      <c r="U100" t="s">
        <v>347</v>
      </c>
      <c r="V100">
        <v>1</v>
      </c>
    </row>
    <row r="101" spans="1:22">
      <c r="A101" s="2" t="str">
        <f>IF(C101="","",VLOOKUP(C101,[1]ISO辞書!A:C,2,FALSE))</f>
        <v>PRY</v>
      </c>
      <c r="B101" s="3" t="str">
        <f>IF(C101="","",VLOOKUP(C101,[1]ISO辞書!A:C,3,FALSE))</f>
        <v>Paraguay</v>
      </c>
      <c r="C101" t="s">
        <v>136</v>
      </c>
      <c r="D101" t="s">
        <v>335</v>
      </c>
      <c r="E101" t="s">
        <v>715</v>
      </c>
      <c r="M101" s="2" t="str">
        <f>IF(J101="","",VLOOKUP(J101,[1]ISO辞書!A:B,2,FALSE))</f>
        <v/>
      </c>
      <c r="N101" s="2" t="str">
        <f>IF(K101="","",VLOOKUP(K101,[1]ISO辞書!A:B,2,FALSE))</f>
        <v/>
      </c>
      <c r="O101" s="2" t="str">
        <f>IF(L101="","",VLOOKUP(L101,[1]ISO辞書!A:B,2,FALSE))</f>
        <v/>
      </c>
      <c r="P101" s="3" t="str">
        <f t="shared" si="1"/>
        <v/>
      </c>
      <c r="R101" t="s">
        <v>64</v>
      </c>
      <c r="S101" s="1">
        <v>46120</v>
      </c>
      <c r="T101" t="s">
        <v>121</v>
      </c>
      <c r="U101" t="s">
        <v>348</v>
      </c>
      <c r="V101">
        <v>1</v>
      </c>
    </row>
    <row r="102" spans="1:22">
      <c r="A102" s="2" t="str">
        <f>IF(C102="","",VLOOKUP(C102,[1]ISO辞書!A:C,2,FALSE))</f>
        <v>PRK</v>
      </c>
      <c r="B102" s="3" t="str">
        <f>IF(C102="","",VLOOKUP(C102,[1]ISO辞書!A:C,3,FALSE))</f>
        <v>North Korea</v>
      </c>
      <c r="C102" t="s">
        <v>336</v>
      </c>
      <c r="D102" t="s">
        <v>337</v>
      </c>
      <c r="E102" t="s">
        <v>733</v>
      </c>
      <c r="J102" t="s">
        <v>178</v>
      </c>
      <c r="K102" t="s">
        <v>229</v>
      </c>
      <c r="M102" s="2" t="str">
        <f>IF(J102="","",VLOOKUP(J102,[1]ISO辞書!A:B,2,FALSE))</f>
        <v>KOR</v>
      </c>
      <c r="N102" s="2" t="str">
        <f>IF(K102="","",VLOOKUP(K102,[1]ISO辞書!A:B,2,FALSE))</f>
        <v>JPN</v>
      </c>
      <c r="O102" s="2" t="str">
        <f>IF(L102="","",VLOOKUP(L102,[1]ISO辞書!A:B,2,FALSE))</f>
        <v/>
      </c>
      <c r="P102" s="3" t="str">
        <f t="shared" si="1"/>
        <v>KOR;JPN</v>
      </c>
      <c r="Q102" t="s">
        <v>734</v>
      </c>
      <c r="R102" t="s">
        <v>22</v>
      </c>
      <c r="S102" s="1">
        <v>46120</v>
      </c>
      <c r="T102" t="s">
        <v>121</v>
      </c>
      <c r="U102" t="s">
        <v>349</v>
      </c>
      <c r="V102">
        <v>3</v>
      </c>
    </row>
    <row r="103" spans="1:22">
      <c r="A103" s="2" t="str">
        <f>IF(C103="","",VLOOKUP(C103,[1]ISO辞書!A:C,2,FALSE))</f>
        <v>AFG</v>
      </c>
      <c r="B103" s="3" t="str">
        <f>IF(C103="","",VLOOKUP(C103,[1]ISO辞書!A:C,3,FALSE))</f>
        <v>Afghanistan</v>
      </c>
      <c r="C103" t="s">
        <v>164</v>
      </c>
      <c r="D103" t="s">
        <v>338</v>
      </c>
      <c r="E103" t="s">
        <v>735</v>
      </c>
      <c r="J103" t="s">
        <v>166</v>
      </c>
      <c r="K103" t="s">
        <v>245</v>
      </c>
      <c r="M103" s="2" t="str">
        <f>IF(J103="","",VLOOKUP(J103,[1]ISO辞書!A:B,2,FALSE))</f>
        <v>PAK</v>
      </c>
      <c r="N103" s="2" t="str">
        <f>IF(K103="","",VLOOKUP(K103,[1]ISO辞書!A:B,2,FALSE))</f>
        <v>CHN</v>
      </c>
      <c r="O103" s="2" t="str">
        <f>IF(L103="","",VLOOKUP(L103,[1]ISO辞書!A:B,2,FALSE))</f>
        <v/>
      </c>
      <c r="P103" s="3" t="str">
        <f t="shared" si="1"/>
        <v>PAK;CHN</v>
      </c>
      <c r="Q103" t="s">
        <v>736</v>
      </c>
      <c r="R103" t="s">
        <v>22</v>
      </c>
      <c r="S103" s="1">
        <v>46120</v>
      </c>
      <c r="T103" t="s">
        <v>121</v>
      </c>
      <c r="U103" t="s">
        <v>350</v>
      </c>
      <c r="V103">
        <v>4</v>
      </c>
    </row>
    <row r="104" spans="1:22">
      <c r="A104" s="2" t="str">
        <f>IF(C104="","",VLOOKUP(C104,[1]ISO辞書!A:C,2,FALSE))</f>
        <v>IRN</v>
      </c>
      <c r="B104" s="3" t="str">
        <f>IF(C104="","",VLOOKUP(C104,[1]ISO辞書!A:C,3,FALSE))</f>
        <v>Iran</v>
      </c>
      <c r="C104" t="s">
        <v>140</v>
      </c>
      <c r="D104" t="s">
        <v>327</v>
      </c>
      <c r="E104" t="s">
        <v>737</v>
      </c>
      <c r="J104" t="s">
        <v>132</v>
      </c>
      <c r="M104" s="2" t="str">
        <f>IF(J104="","",VLOOKUP(J104,[1]ISO辞書!A:B,2,FALSE))</f>
        <v>USA</v>
      </c>
      <c r="N104" s="2" t="str">
        <f>IF(K104="","",VLOOKUP(K104,[1]ISO辞書!A:B,2,FALSE))</f>
        <v/>
      </c>
      <c r="O104" s="2" t="str">
        <f>IF(L104="","",VLOOKUP(L104,[1]ISO辞書!A:B,2,FALSE))</f>
        <v/>
      </c>
      <c r="P104" s="3" t="str">
        <f t="shared" si="1"/>
        <v>USA</v>
      </c>
      <c r="Q104" t="s">
        <v>738</v>
      </c>
      <c r="R104" t="s">
        <v>55</v>
      </c>
      <c r="S104" s="1">
        <v>46121</v>
      </c>
      <c r="T104" t="s">
        <v>134</v>
      </c>
      <c r="U104" t="s">
        <v>339</v>
      </c>
      <c r="V104">
        <v>4</v>
      </c>
    </row>
    <row r="105" spans="1:22">
      <c r="A105" s="2" t="str">
        <f>IF(C105="","",VLOOKUP(C105,[1]ISO辞書!A:C,2,FALSE))</f>
        <v>GBR</v>
      </c>
      <c r="B105" s="3" t="str">
        <f>IF(C105="","",VLOOKUP(C105,[1]ISO辞書!A:C,3,FALSE))</f>
        <v>Britain</v>
      </c>
      <c r="C105" t="s">
        <v>144</v>
      </c>
      <c r="D105" t="s">
        <v>391</v>
      </c>
      <c r="E105" t="s">
        <v>709</v>
      </c>
      <c r="J105" t="s">
        <v>131</v>
      </c>
      <c r="M105" s="2" t="str">
        <f>IF(J105="","",VLOOKUP(J105,[1]ISO辞書!A:B,2,FALSE))</f>
        <v>RUS</v>
      </c>
      <c r="N105" s="2" t="str">
        <f>IF(K105="","",VLOOKUP(K105,[1]ISO辞書!A:B,2,FALSE))</f>
        <v/>
      </c>
      <c r="O105" s="2" t="str">
        <f>IF(L105="","",VLOOKUP(L105,[1]ISO辞書!A:B,2,FALSE))</f>
        <v/>
      </c>
      <c r="P105" s="3" t="str">
        <f t="shared" si="1"/>
        <v>RUS</v>
      </c>
      <c r="Q105" t="s">
        <v>710</v>
      </c>
      <c r="R105" t="s">
        <v>22</v>
      </c>
      <c r="S105" s="1">
        <v>46121</v>
      </c>
      <c r="T105" t="s">
        <v>134</v>
      </c>
      <c r="U105" t="s">
        <v>340</v>
      </c>
      <c r="V105">
        <v>3</v>
      </c>
    </row>
    <row r="106" spans="1:22">
      <c r="A106" s="2" t="str">
        <f>IF(C106="","",VLOOKUP(C106,[1]ISO辞書!A:C,2,FALSE))</f>
        <v>GBR</v>
      </c>
      <c r="B106" s="3" t="str">
        <f>IF(C106="","",VLOOKUP(C106,[1]ISO辞書!A:C,3,FALSE))</f>
        <v>Britain</v>
      </c>
      <c r="C106" t="s">
        <v>144</v>
      </c>
      <c r="D106" t="s">
        <v>329</v>
      </c>
      <c r="E106" t="s">
        <v>739</v>
      </c>
      <c r="J106" t="s">
        <v>132</v>
      </c>
      <c r="K106" t="s">
        <v>118</v>
      </c>
      <c r="L106" t="s">
        <v>120</v>
      </c>
      <c r="M106" s="2" t="str">
        <f>IF(J106="","",VLOOKUP(J106,[1]ISO辞書!A:B,2,FALSE))</f>
        <v>USA</v>
      </c>
      <c r="N106" s="2" t="str">
        <f>IF(K106="","",VLOOKUP(K106,[1]ISO辞書!A:B,2,FALSE))</f>
        <v>ISR</v>
      </c>
      <c r="O106" s="2" t="str">
        <f>IF(L106="","",VLOOKUP(L106,[1]ISO辞書!A:B,2,FALSE))</f>
        <v>LBN</v>
      </c>
      <c r="P106" s="3" t="str">
        <f t="shared" si="1"/>
        <v>USA;ISR;LBN</v>
      </c>
      <c r="Q106" t="s">
        <v>740</v>
      </c>
      <c r="R106" t="s">
        <v>55</v>
      </c>
      <c r="S106" s="1">
        <v>46121</v>
      </c>
      <c r="T106" t="s">
        <v>134</v>
      </c>
      <c r="U106" t="s">
        <v>342</v>
      </c>
      <c r="V106">
        <v>4</v>
      </c>
    </row>
    <row r="107" spans="1:22">
      <c r="A107" s="2" t="str">
        <f>IF(C107="","",VLOOKUP(C107,[1]ISO辞書!A:C,2,FALSE))</f>
        <v>ISR</v>
      </c>
      <c r="B107" s="3" t="str">
        <f>IF(C107="","",VLOOKUP(C107,[1]ISO辞書!A:C,3,FALSE))</f>
        <v>Israel</v>
      </c>
      <c r="C107" t="s">
        <v>118</v>
      </c>
      <c r="D107" t="s">
        <v>330</v>
      </c>
      <c r="E107" t="s">
        <v>741</v>
      </c>
      <c r="J107" t="s">
        <v>120</v>
      </c>
      <c r="M107" s="2" t="str">
        <f>IF(J107="","",VLOOKUP(J107,[1]ISO辞書!A:B,2,FALSE))</f>
        <v>LBN</v>
      </c>
      <c r="N107" s="2" t="str">
        <f>IF(K107="","",VLOOKUP(K107,[1]ISO辞書!A:B,2,FALSE))</f>
        <v/>
      </c>
      <c r="O107" s="2" t="str">
        <f>IF(L107="","",VLOOKUP(L107,[1]ISO辞書!A:B,2,FALSE))</f>
        <v/>
      </c>
      <c r="P107" s="3" t="str">
        <f t="shared" si="1"/>
        <v>LBN</v>
      </c>
      <c r="Q107" t="s">
        <v>742</v>
      </c>
      <c r="R107" t="s">
        <v>55</v>
      </c>
      <c r="S107" s="1">
        <v>46121</v>
      </c>
      <c r="T107" t="s">
        <v>134</v>
      </c>
      <c r="U107" t="s">
        <v>343</v>
      </c>
      <c r="V107">
        <v>5</v>
      </c>
    </row>
    <row r="108" spans="1:22">
      <c r="A108" s="2" t="str">
        <f>IF(C108="","",VLOOKUP(C108,[1]ISO辞書!A:C,2,FALSE))</f>
        <v>ECU</v>
      </c>
      <c r="B108" s="3" t="str">
        <f>IF(C108="","",VLOOKUP(C108,[1]ISO辞書!A:C,3,FALSE))</f>
        <v>Ecuador</v>
      </c>
      <c r="C108" t="s">
        <v>354</v>
      </c>
      <c r="D108" t="s">
        <v>355</v>
      </c>
      <c r="E108" t="s">
        <v>356</v>
      </c>
      <c r="J108" t="s">
        <v>357</v>
      </c>
      <c r="M108" s="2" t="str">
        <f>IF(J108="","",VLOOKUP(J108,[1]ISO辞書!A:B,2,FALSE))</f>
        <v>COL</v>
      </c>
      <c r="N108" s="2" t="str">
        <f>IF(K108="","",VLOOKUP(K108,[1]ISO辞書!A:B,2,FALSE))</f>
        <v/>
      </c>
      <c r="O108" s="2" t="str">
        <f>IF(L108="","",VLOOKUP(L108,[1]ISO辞書!A:B,2,FALSE))</f>
        <v/>
      </c>
      <c r="P108" s="3" t="str">
        <f t="shared" si="1"/>
        <v>COL</v>
      </c>
      <c r="Q108" t="s">
        <v>376</v>
      </c>
      <c r="R108" t="s">
        <v>43</v>
      </c>
      <c r="S108" s="1">
        <v>46121</v>
      </c>
      <c r="T108" t="s">
        <v>121</v>
      </c>
      <c r="U108" t="s">
        <v>377</v>
      </c>
      <c r="V108">
        <v>3</v>
      </c>
    </row>
    <row r="109" spans="1:22">
      <c r="A109" s="2" t="str">
        <f>IF(C109="","",VLOOKUP(C109,[1]ISO辞書!A:C,2,FALSE))</f>
        <v>VEN</v>
      </c>
      <c r="B109" s="3" t="str">
        <f>IF(C109="","",VLOOKUP(C109,[1]ISO辞書!A:C,3,FALSE))</f>
        <v>Venezuela</v>
      </c>
      <c r="C109" t="s">
        <v>187</v>
      </c>
      <c r="D109" t="s">
        <v>360</v>
      </c>
      <c r="E109" t="s">
        <v>361</v>
      </c>
      <c r="M109" s="2" t="str">
        <f>IF(J109="","",VLOOKUP(J109,[1]ISO辞書!A:B,2,FALSE))</f>
        <v/>
      </c>
      <c r="N109" s="2" t="str">
        <f>IF(K109="","",VLOOKUP(K109,[1]ISO辞書!A:B,2,FALSE))</f>
        <v/>
      </c>
      <c r="O109" s="2" t="str">
        <f>IF(L109="","",VLOOKUP(L109,[1]ISO辞書!A:B,2,FALSE))</f>
        <v/>
      </c>
      <c r="P109" s="3" t="str">
        <f t="shared" si="1"/>
        <v/>
      </c>
      <c r="Q109" t="s">
        <v>380</v>
      </c>
      <c r="R109" t="s">
        <v>246</v>
      </c>
      <c r="S109" s="1">
        <v>46121</v>
      </c>
      <c r="T109" t="s">
        <v>134</v>
      </c>
      <c r="U109" t="s">
        <v>381</v>
      </c>
      <c r="V109">
        <v>2</v>
      </c>
    </row>
    <row r="110" spans="1:22">
      <c r="A110" s="2" t="str">
        <f>IF(C110="","",VLOOKUP(C110,[1]ISO辞書!A:C,2,FALSE))</f>
        <v>VEN</v>
      </c>
      <c r="B110" s="3" t="str">
        <f>IF(C110="","",VLOOKUP(C110,[1]ISO辞書!A:C,3,FALSE))</f>
        <v>Venezuela</v>
      </c>
      <c r="C110" t="s">
        <v>187</v>
      </c>
      <c r="D110" t="s">
        <v>362</v>
      </c>
      <c r="J110" t="s">
        <v>363</v>
      </c>
      <c r="M110" s="2" t="str">
        <f>IF(J110="","",VLOOKUP(J110,[1]ISO辞書!A:B,2,FALSE))</f>
        <v>GRD</v>
      </c>
      <c r="N110" s="2" t="str">
        <f>IF(K110="","",VLOOKUP(K110,[1]ISO辞書!A:B,2,FALSE))</f>
        <v/>
      </c>
      <c r="O110" s="2" t="str">
        <f>IF(L110="","",VLOOKUP(L110,[1]ISO辞書!A:B,2,FALSE))</f>
        <v/>
      </c>
      <c r="P110" s="3" t="str">
        <f t="shared" si="1"/>
        <v>GRD</v>
      </c>
      <c r="R110" t="s">
        <v>43</v>
      </c>
      <c r="S110" s="1">
        <v>46121</v>
      </c>
      <c r="T110" t="s">
        <v>121</v>
      </c>
      <c r="U110" t="s">
        <v>382</v>
      </c>
      <c r="V110">
        <v>2</v>
      </c>
    </row>
    <row r="111" spans="1:22">
      <c r="A111" s="2" t="str">
        <f>IF(C111="","",VLOOKUP(C111,[1]ISO辞書!A:C,2,FALSE))</f>
        <v>ISR</v>
      </c>
      <c r="B111" s="3" t="str">
        <f>IF(C111="","",VLOOKUP(C111,[1]ISO辞書!A:C,3,FALSE))</f>
        <v>Israel</v>
      </c>
      <c r="C111" t="s">
        <v>118</v>
      </c>
      <c r="D111" t="s">
        <v>370</v>
      </c>
      <c r="E111" t="s">
        <v>371</v>
      </c>
      <c r="M111" s="2" t="str">
        <f>IF(J111="","",VLOOKUP(J111,[1]ISO辞書!A:B,2,FALSE))</f>
        <v/>
      </c>
      <c r="N111" s="2" t="str">
        <f>IF(K111="","",VLOOKUP(K111,[1]ISO辞書!A:B,2,FALSE))</f>
        <v/>
      </c>
      <c r="O111" s="2" t="str">
        <f>IF(L111="","",VLOOKUP(L111,[1]ISO辞書!A:B,2,FALSE))</f>
        <v/>
      </c>
      <c r="P111" s="3" t="str">
        <f t="shared" si="1"/>
        <v/>
      </c>
      <c r="Q111" t="s">
        <v>387</v>
      </c>
      <c r="R111" t="s">
        <v>64</v>
      </c>
      <c r="S111" s="1">
        <v>46121</v>
      </c>
      <c r="T111" t="s">
        <v>121</v>
      </c>
      <c r="U111" t="s">
        <v>388</v>
      </c>
      <c r="V111">
        <v>5</v>
      </c>
    </row>
    <row r="112" spans="1:22">
      <c r="A112" s="2" t="str">
        <f>IF(C112="","",VLOOKUP(C112,[1]ISO辞書!A:C,2,FALSE))</f>
        <v>ISR</v>
      </c>
      <c r="B112" s="3" t="str">
        <f>IF(C112="","",VLOOKUP(C112,[1]ISO辞書!A:C,3,FALSE))</f>
        <v>Israel</v>
      </c>
      <c r="C112" t="s">
        <v>118</v>
      </c>
      <c r="D112" t="s">
        <v>372</v>
      </c>
      <c r="E112" t="s">
        <v>373</v>
      </c>
      <c r="J112" t="s">
        <v>171</v>
      </c>
      <c r="M112" s="2" t="str">
        <f>IF(J112="","",VLOOKUP(J112,[1]ISO辞書!A:B,2,FALSE))</f>
        <v>PSE</v>
      </c>
      <c r="N112" s="2" t="str">
        <f>IF(K112="","",VLOOKUP(K112,[1]ISO辞書!A:B,2,FALSE))</f>
        <v/>
      </c>
      <c r="O112" s="2" t="str">
        <f>IF(L112="","",VLOOKUP(L112,[1]ISO辞書!A:B,2,FALSE))</f>
        <v/>
      </c>
      <c r="P112" s="3" t="str">
        <f t="shared" si="1"/>
        <v>PSE</v>
      </c>
      <c r="Q112" t="s">
        <v>389</v>
      </c>
      <c r="R112" t="s">
        <v>55</v>
      </c>
      <c r="S112" s="1">
        <v>46121</v>
      </c>
      <c r="T112" t="s">
        <v>121</v>
      </c>
      <c r="U112" t="s">
        <v>390</v>
      </c>
      <c r="V112">
        <v>4</v>
      </c>
    </row>
    <row r="113" spans="1:22">
      <c r="A113" s="2" t="str">
        <f>IF(C113="","",VLOOKUP(C113,[1]ISO辞書!A:C,2,FALSE))</f>
        <v>BRA</v>
      </c>
      <c r="B113" s="3" t="str">
        <f>IF(C113="","",VLOOKUP(C113,[1]ISO辞書!A:C,3,FALSE))</f>
        <v>Brazil</v>
      </c>
      <c r="C113" t="s">
        <v>351</v>
      </c>
      <c r="D113" t="s">
        <v>352</v>
      </c>
      <c r="E113" t="s">
        <v>353</v>
      </c>
      <c r="J113" t="s">
        <v>132</v>
      </c>
      <c r="M113" s="2" t="str">
        <f>IF(J113="","",VLOOKUP(J113,[1]ISO辞書!A:B,2,FALSE))</f>
        <v>USA</v>
      </c>
      <c r="N113" s="2" t="str">
        <f>IF(K113="","",VLOOKUP(K113,[1]ISO辞書!A:B,2,FALSE))</f>
        <v/>
      </c>
      <c r="O113" s="2" t="str">
        <f>IF(L113="","",VLOOKUP(L113,[1]ISO辞書!A:B,2,FALSE))</f>
        <v/>
      </c>
      <c r="P113" s="3" t="str">
        <f t="shared" si="1"/>
        <v>USA</v>
      </c>
      <c r="Q113" t="s">
        <v>374</v>
      </c>
      <c r="R113" t="s">
        <v>43</v>
      </c>
      <c r="S113" s="1">
        <v>46122</v>
      </c>
      <c r="T113" t="s">
        <v>121</v>
      </c>
      <c r="U113" t="s">
        <v>375</v>
      </c>
      <c r="V113">
        <v>3</v>
      </c>
    </row>
    <row r="114" spans="1:22">
      <c r="A114" s="2" t="str">
        <f>IF(C114="","",VLOOKUP(C114,[1]ISO辞書!A:C,2,FALSE))</f>
        <v>VEN</v>
      </c>
      <c r="B114" s="3" t="str">
        <f>IF(C114="","",VLOOKUP(C114,[1]ISO辞書!A:C,3,FALSE))</f>
        <v>Venezuela</v>
      </c>
      <c r="C114" t="s">
        <v>187</v>
      </c>
      <c r="D114" t="s">
        <v>358</v>
      </c>
      <c r="E114" t="s">
        <v>359</v>
      </c>
      <c r="M114" s="2" t="str">
        <f>IF(J114="","",VLOOKUP(J114,[1]ISO辞書!A:B,2,FALSE))</f>
        <v/>
      </c>
      <c r="N114" s="2" t="str">
        <f>IF(K114="","",VLOOKUP(K114,[1]ISO辞書!A:B,2,FALSE))</f>
        <v/>
      </c>
      <c r="O114" s="2" t="str">
        <f>IF(L114="","",VLOOKUP(L114,[1]ISO辞書!A:B,2,FALSE))</f>
        <v/>
      </c>
      <c r="P114" s="3" t="str">
        <f t="shared" si="1"/>
        <v/>
      </c>
      <c r="Q114" t="s">
        <v>378</v>
      </c>
      <c r="R114" t="s">
        <v>64</v>
      </c>
      <c r="S114" s="1">
        <v>46122</v>
      </c>
      <c r="T114" t="s">
        <v>121</v>
      </c>
      <c r="U114" t="s">
        <v>379</v>
      </c>
      <c r="V114">
        <v>3</v>
      </c>
    </row>
    <row r="115" spans="1:22">
      <c r="A115" s="2" t="str">
        <f>IF(C115="","",VLOOKUP(C115,[1]ISO辞書!A:C,2,FALSE))</f>
        <v>CHN</v>
      </c>
      <c r="B115" s="3" t="str">
        <f>IF(C115="","",VLOOKUP(C115,[1]ISO辞書!A:C,3,FALSE))</f>
        <v>China</v>
      </c>
      <c r="C115" t="s">
        <v>245</v>
      </c>
      <c r="D115" t="s">
        <v>364</v>
      </c>
      <c r="E115" t="s">
        <v>365</v>
      </c>
      <c r="J115" t="s">
        <v>336</v>
      </c>
      <c r="M115" s="2" t="str">
        <f>IF(J115="","",VLOOKUP(J115,[1]ISO辞書!A:B,2,FALSE))</f>
        <v>PRK</v>
      </c>
      <c r="N115" s="2" t="str">
        <f>IF(K115="","",VLOOKUP(K115,[1]ISO辞書!A:B,2,FALSE))</f>
        <v/>
      </c>
      <c r="O115" s="2" t="str">
        <f>IF(L115="","",VLOOKUP(L115,[1]ISO辞書!A:B,2,FALSE))</f>
        <v/>
      </c>
      <c r="P115" s="3" t="str">
        <f t="shared" si="1"/>
        <v>PRK</v>
      </c>
      <c r="Q115" t="s">
        <v>383</v>
      </c>
      <c r="R115" t="s">
        <v>43</v>
      </c>
      <c r="S115" s="1">
        <v>46122</v>
      </c>
      <c r="T115" t="s">
        <v>121</v>
      </c>
      <c r="U115" t="s">
        <v>384</v>
      </c>
      <c r="V115">
        <v>4</v>
      </c>
    </row>
    <row r="116" spans="1:22">
      <c r="A116" s="2" t="str">
        <f>IF(C116="","",VLOOKUP(C116,[1]ISO辞書!A:C,2,FALSE))</f>
        <v>AUS</v>
      </c>
      <c r="B116" s="3" t="str">
        <f>IF(C116="","",VLOOKUP(C116,[1]ISO辞書!A:C,3,FALSE))</f>
        <v>Australia</v>
      </c>
      <c r="C116" t="s">
        <v>366</v>
      </c>
      <c r="D116" t="s">
        <v>367</v>
      </c>
      <c r="E116" t="s">
        <v>368</v>
      </c>
      <c r="J116" t="s">
        <v>369</v>
      </c>
      <c r="M116" s="2" t="str">
        <f>IF(J116="","",VLOOKUP(J116,[1]ISO辞書!A:B,2,FALSE))</f>
        <v>SGP</v>
      </c>
      <c r="N116" s="2" t="str">
        <f>IF(K116="","",VLOOKUP(K116,[1]ISO辞書!A:B,2,FALSE))</f>
        <v/>
      </c>
      <c r="O116" s="2" t="str">
        <f>IF(L116="","",VLOOKUP(L116,[1]ISO辞書!A:B,2,FALSE))</f>
        <v/>
      </c>
      <c r="P116" s="3" t="str">
        <f t="shared" si="1"/>
        <v>SGP</v>
      </c>
      <c r="Q116" t="s">
        <v>385</v>
      </c>
      <c r="R116" t="s">
        <v>43</v>
      </c>
      <c r="S116" s="1">
        <v>46122</v>
      </c>
      <c r="T116" t="s">
        <v>121</v>
      </c>
      <c r="U116" t="s">
        <v>386</v>
      </c>
      <c r="V116">
        <v>3</v>
      </c>
    </row>
    <row r="117" spans="1:22">
      <c r="A117" s="2" t="str">
        <f>IF(C117="","",VLOOKUP(C117,[1]ISO辞書!A:C,2,FALSE))</f>
        <v>DJI</v>
      </c>
      <c r="B117" s="3" t="str">
        <f>IF(C117="","",VLOOKUP(C117,[1]ISO辞書!A:C,3,FALSE))</f>
        <v>Djibouti</v>
      </c>
      <c r="C117" t="s">
        <v>422</v>
      </c>
      <c r="D117" t="s">
        <v>423</v>
      </c>
      <c r="E117" t="s">
        <v>424</v>
      </c>
      <c r="M117" s="2" t="str">
        <f>IF(J117="","",VLOOKUP(J117,[1]ISO辞書!A:B,2,FALSE))</f>
        <v/>
      </c>
      <c r="N117" s="2" t="str">
        <f>IF(K117="","",VLOOKUP(K117,[1]ISO辞書!A:B,2,FALSE))</f>
        <v/>
      </c>
      <c r="O117" s="2" t="str">
        <f>IF(L117="","",VLOOKUP(L117,[1]ISO辞書!A:B,2,FALSE))</f>
        <v/>
      </c>
      <c r="P117" s="3" t="str">
        <f t="shared" si="1"/>
        <v/>
      </c>
      <c r="Q117" t="s">
        <v>425</v>
      </c>
      <c r="R117" t="s">
        <v>64</v>
      </c>
      <c r="S117" s="1">
        <v>46123</v>
      </c>
      <c r="T117" t="s">
        <v>121</v>
      </c>
      <c r="U117" t="s">
        <v>426</v>
      </c>
      <c r="V117">
        <v>2</v>
      </c>
    </row>
    <row r="118" spans="1:22">
      <c r="A118" s="2" t="str">
        <f>IF(C118="","",VLOOKUP(C118,[1]ISO辞書!A:C,2,FALSE))</f>
        <v>LBY</v>
      </c>
      <c r="B118" s="3" t="str">
        <f>IF(C118="","",VLOOKUP(C118,[1]ISO辞書!A:C,3,FALSE))</f>
        <v>Libya</v>
      </c>
      <c r="C118" t="s">
        <v>431</v>
      </c>
      <c r="D118" t="s">
        <v>432</v>
      </c>
      <c r="E118" t="s">
        <v>433</v>
      </c>
      <c r="M118" s="2" t="str">
        <f>IF(J118="","",VLOOKUP(J118,[1]ISO辞書!A:B,2,FALSE))</f>
        <v/>
      </c>
      <c r="N118" s="2" t="str">
        <f>IF(K118="","",VLOOKUP(K118,[1]ISO辞書!A:B,2,FALSE))</f>
        <v/>
      </c>
      <c r="O118" s="2" t="str">
        <f>IF(L118="","",VLOOKUP(L118,[1]ISO辞書!A:B,2,FALSE))</f>
        <v/>
      </c>
      <c r="P118" s="3" t="str">
        <f t="shared" si="1"/>
        <v/>
      </c>
      <c r="Q118" t="s">
        <v>434</v>
      </c>
      <c r="R118" t="s">
        <v>64</v>
      </c>
      <c r="S118" s="1">
        <v>46123</v>
      </c>
      <c r="T118" t="s">
        <v>121</v>
      </c>
      <c r="U118" t="s">
        <v>435</v>
      </c>
      <c r="V118">
        <v>4</v>
      </c>
    </row>
    <row r="119" spans="1:22">
      <c r="A119" s="2" t="str">
        <f>IF(C119="","",VLOOKUP(C119,[1]ISO辞書!A:C,2,FALSE))</f>
        <v>PAK</v>
      </c>
      <c r="B119" s="3" t="str">
        <f>IF(C119="","",VLOOKUP(C119,[1]ISO辞書!A:C,3,FALSE))</f>
        <v>Pakistan</v>
      </c>
      <c r="C119" t="s">
        <v>166</v>
      </c>
      <c r="D119" t="s">
        <v>467</v>
      </c>
      <c r="E119" t="s">
        <v>468</v>
      </c>
      <c r="J119" t="s">
        <v>207</v>
      </c>
      <c r="M119" s="2" t="str">
        <f>IF(J119="","",VLOOKUP(J119,[1]ISO辞書!A:B,2,FALSE))</f>
        <v>SAU</v>
      </c>
      <c r="N119" s="2" t="str">
        <f>IF(K119="","",VLOOKUP(K119,[1]ISO辞書!A:B,2,FALSE))</f>
        <v/>
      </c>
      <c r="O119" s="2" t="str">
        <f>IF(L119="","",VLOOKUP(L119,[1]ISO辞書!A:B,2,FALSE))</f>
        <v/>
      </c>
      <c r="P119" s="3" t="str">
        <f t="shared" si="1"/>
        <v>SAU</v>
      </c>
      <c r="Q119" t="s">
        <v>469</v>
      </c>
      <c r="R119" t="s">
        <v>22</v>
      </c>
      <c r="S119" s="1">
        <v>46123</v>
      </c>
      <c r="T119" t="s">
        <v>121</v>
      </c>
      <c r="U119" t="s">
        <v>470</v>
      </c>
      <c r="V119">
        <v>4</v>
      </c>
    </row>
    <row r="120" spans="1:22">
      <c r="A120" s="2" t="str">
        <f>IF(C120="","",VLOOKUP(C120,[1]ISO辞書!A:C,2,FALSE))</f>
        <v>UKR</v>
      </c>
      <c r="B120" s="3" t="str">
        <f>IF(C120="","",VLOOKUP(C120,[1]ISO辞書!A:C,3,FALSE))</f>
        <v>Ukraine</v>
      </c>
      <c r="C120" t="s">
        <v>150</v>
      </c>
      <c r="D120" t="s">
        <v>488</v>
      </c>
      <c r="E120" t="s">
        <v>489</v>
      </c>
      <c r="J120" t="s">
        <v>131</v>
      </c>
      <c r="M120" s="2" t="str">
        <f>IF(J120="","",VLOOKUP(J120,[1]ISO辞書!A:B,2,FALSE))</f>
        <v>RUS</v>
      </c>
      <c r="N120" s="2" t="str">
        <f>IF(K120="","",VLOOKUP(K120,[1]ISO辞書!A:B,2,FALSE))</f>
        <v/>
      </c>
      <c r="O120" s="2" t="str">
        <f>IF(L120="","",VLOOKUP(L120,[1]ISO辞書!A:B,2,FALSE))</f>
        <v/>
      </c>
      <c r="P120" s="3" t="str">
        <f t="shared" si="1"/>
        <v>RUS</v>
      </c>
      <c r="Q120" t="s">
        <v>490</v>
      </c>
      <c r="R120" t="s">
        <v>55</v>
      </c>
      <c r="S120" s="1">
        <v>46123</v>
      </c>
      <c r="T120" t="s">
        <v>121</v>
      </c>
      <c r="U120" t="s">
        <v>491</v>
      </c>
      <c r="V120">
        <v>4</v>
      </c>
    </row>
    <row r="121" spans="1:22">
      <c r="A121" s="2" t="str">
        <f>IF(C121="","",VLOOKUP(C121,[1]ISO辞書!A:C,2,FALSE))</f>
        <v>IRQ</v>
      </c>
      <c r="B121" s="3" t="str">
        <f>IF(C121="","",VLOOKUP(C121,[1]ISO辞書!A:C,3,FALSE))</f>
        <v>Iraq</v>
      </c>
      <c r="C121" t="s">
        <v>496</v>
      </c>
      <c r="D121" t="s">
        <v>497</v>
      </c>
      <c r="E121" t="s">
        <v>498</v>
      </c>
      <c r="M121" s="2" t="str">
        <f>IF(J121="","",VLOOKUP(J121,[1]ISO辞書!A:B,2,FALSE))</f>
        <v/>
      </c>
      <c r="N121" s="2" t="str">
        <f>IF(K121="","",VLOOKUP(K121,[1]ISO辞書!A:B,2,FALSE))</f>
        <v/>
      </c>
      <c r="O121" s="2" t="str">
        <f>IF(L121="","",VLOOKUP(L121,[1]ISO辞書!A:B,2,FALSE))</f>
        <v/>
      </c>
      <c r="P121" s="3" t="str">
        <f t="shared" si="1"/>
        <v/>
      </c>
      <c r="Q121" t="s">
        <v>499</v>
      </c>
      <c r="R121" t="s">
        <v>64</v>
      </c>
      <c r="S121" s="1">
        <v>46123</v>
      </c>
      <c r="T121" t="s">
        <v>121</v>
      </c>
      <c r="U121" t="s">
        <v>500</v>
      </c>
      <c r="V121">
        <v>3</v>
      </c>
    </row>
    <row r="122" spans="1:22">
      <c r="A122" s="2" t="str">
        <f>IF(C122="","",VLOOKUP(C122,[1]ISO辞書!A:C,2,FALSE))</f>
        <v>BEN</v>
      </c>
      <c r="B122" s="3" t="str">
        <f>IF(C122="","",VLOOKUP(C122,[1]ISO辞書!A:C,3,FALSE))</f>
        <v>Benin</v>
      </c>
      <c r="C122" t="s">
        <v>392</v>
      </c>
      <c r="D122" t="s">
        <v>393</v>
      </c>
      <c r="E122" t="s">
        <v>394</v>
      </c>
      <c r="M122" s="2" t="str">
        <f>IF(J122="","",VLOOKUP(J122,[1]ISO辞書!A:B,2,FALSE))</f>
        <v/>
      </c>
      <c r="N122" s="2" t="str">
        <f>IF(K122="","",VLOOKUP(K122,[1]ISO辞書!A:B,2,FALSE))</f>
        <v/>
      </c>
      <c r="O122" s="2" t="str">
        <f>IF(L122="","",VLOOKUP(L122,[1]ISO辞書!A:B,2,FALSE))</f>
        <v/>
      </c>
      <c r="P122" s="3" t="str">
        <f t="shared" si="1"/>
        <v/>
      </c>
      <c r="Q122" t="s">
        <v>395</v>
      </c>
      <c r="R122" t="s">
        <v>64</v>
      </c>
      <c r="S122" s="1">
        <v>46124</v>
      </c>
      <c r="T122" t="s">
        <v>121</v>
      </c>
      <c r="U122" s="5" t="s">
        <v>396</v>
      </c>
      <c r="V122">
        <v>2</v>
      </c>
    </row>
    <row r="123" spans="1:22">
      <c r="A123" s="2" t="str">
        <f>IF(C123="","",VLOOKUP(C123,[1]ISO辞書!A:C,2,FALSE))</f>
        <v>ZAF</v>
      </c>
      <c r="B123" s="3" t="str">
        <f>IF(C123="","",VLOOKUP(C123,[1]ISO辞書!A:C,3,FALSE))</f>
        <v>South Africa</v>
      </c>
      <c r="C123" t="s">
        <v>407</v>
      </c>
      <c r="D123" t="s">
        <v>427</v>
      </c>
      <c r="E123" t="s">
        <v>428</v>
      </c>
      <c r="M123" s="2" t="str">
        <f>IF(J123="","",VLOOKUP(J123,[1]ISO辞書!A:B,2,FALSE))</f>
        <v/>
      </c>
      <c r="N123" s="2" t="str">
        <f>IF(K123="","",VLOOKUP(K123,[1]ISO辞書!A:B,2,FALSE))</f>
        <v/>
      </c>
      <c r="O123" s="2" t="str">
        <f>IF(L123="","",VLOOKUP(L123,[1]ISO辞書!A:B,2,FALSE))</f>
        <v/>
      </c>
      <c r="P123" s="3" t="str">
        <f t="shared" si="1"/>
        <v/>
      </c>
      <c r="Q123" t="s">
        <v>429</v>
      </c>
      <c r="R123" t="s">
        <v>64</v>
      </c>
      <c r="S123" s="1">
        <v>46124</v>
      </c>
      <c r="T123" t="s">
        <v>121</v>
      </c>
      <c r="U123" t="s">
        <v>430</v>
      </c>
      <c r="V123">
        <v>2</v>
      </c>
    </row>
    <row r="124" spans="1:22">
      <c r="A124" s="2" t="str">
        <f>IF(C124="","",VLOOKUP(C124,[1]ISO辞書!A:C,2,FALSE))</f>
        <v>HUN</v>
      </c>
      <c r="B124" s="3" t="str">
        <f>IF(C124="","",VLOOKUP(C124,[1]ISO辞書!A:C,3,FALSE))</f>
        <v>Hungary</v>
      </c>
      <c r="C124" t="s">
        <v>476</v>
      </c>
      <c r="D124" t="s">
        <v>480</v>
      </c>
      <c r="E124" t="s">
        <v>481</v>
      </c>
      <c r="M124" s="2" t="str">
        <f>IF(J124="","",VLOOKUP(J124,[1]ISO辞書!A:B,2,FALSE))</f>
        <v/>
      </c>
      <c r="N124" s="2" t="str">
        <f>IF(K124="","",VLOOKUP(K124,[1]ISO辞書!A:B,2,FALSE))</f>
        <v/>
      </c>
      <c r="O124" s="2" t="str">
        <f>IF(L124="","",VLOOKUP(L124,[1]ISO辞書!A:B,2,FALSE))</f>
        <v/>
      </c>
      <c r="P124" s="3" t="str">
        <f t="shared" si="1"/>
        <v/>
      </c>
      <c r="Q124" t="s">
        <v>482</v>
      </c>
      <c r="R124" t="s">
        <v>64</v>
      </c>
      <c r="S124" s="1">
        <v>46124</v>
      </c>
      <c r="T124" t="s">
        <v>121</v>
      </c>
      <c r="U124" t="s">
        <v>483</v>
      </c>
      <c r="V124">
        <v>5</v>
      </c>
    </row>
    <row r="125" spans="1:22">
      <c r="A125" s="2" t="str">
        <f>IF(C125="","",VLOOKUP(C125,[1]ISO辞書!A:C,2,FALSE))</f>
        <v>ISR</v>
      </c>
      <c r="B125" s="3" t="str">
        <f>IF(C125="","",VLOOKUP(C125,[1]ISO辞書!A:C,3,FALSE))</f>
        <v>Israel</v>
      </c>
      <c r="C125" t="s">
        <v>118</v>
      </c>
      <c r="D125" t="s">
        <v>492</v>
      </c>
      <c r="E125" t="s">
        <v>493</v>
      </c>
      <c r="M125" s="2" t="str">
        <f>IF(J125="","",VLOOKUP(J125,[1]ISO辞書!A:B,2,FALSE))</f>
        <v/>
      </c>
      <c r="N125" s="2" t="str">
        <f>IF(K125="","",VLOOKUP(K125,[1]ISO辞書!A:B,2,FALSE))</f>
        <v/>
      </c>
      <c r="O125" s="2" t="str">
        <f>IF(L125="","",VLOOKUP(L125,[1]ISO辞書!A:B,2,FALSE))</f>
        <v/>
      </c>
      <c r="P125" s="3" t="str">
        <f t="shared" si="1"/>
        <v/>
      </c>
      <c r="Q125" t="s">
        <v>494</v>
      </c>
      <c r="R125" t="s">
        <v>64</v>
      </c>
      <c r="S125" s="1">
        <v>46124</v>
      </c>
      <c r="T125" t="s">
        <v>121</v>
      </c>
      <c r="U125" t="s">
        <v>495</v>
      </c>
      <c r="V125">
        <v>4</v>
      </c>
    </row>
    <row r="126" spans="1:22">
      <c r="A126" s="2" t="str">
        <f>IF(C126="","",VLOOKUP(C126,[1]ISO辞書!A:C,2,FALSE))</f>
        <v>BWA</v>
      </c>
      <c r="B126" s="3" t="str">
        <f>IF(C126="","",VLOOKUP(C126,[1]ISO辞書!A:C,3,FALSE))</f>
        <v>Botswana</v>
      </c>
      <c r="C126" t="s">
        <v>402</v>
      </c>
      <c r="D126" t="s">
        <v>403</v>
      </c>
      <c r="E126" t="s">
        <v>404</v>
      </c>
      <c r="J126" t="s">
        <v>230</v>
      </c>
      <c r="M126" s="2" t="str">
        <f>IF(J126="","",VLOOKUP(J126,[1]ISO辞書!A:B,2,FALSE))</f>
        <v>OMN</v>
      </c>
      <c r="N126" s="2" t="str">
        <f>IF(K126="","",VLOOKUP(K126,[1]ISO辞書!A:B,2,FALSE))</f>
        <v/>
      </c>
      <c r="O126" s="2" t="str">
        <f>IF(L126="","",VLOOKUP(L126,[1]ISO辞書!A:B,2,FALSE))</f>
        <v/>
      </c>
      <c r="P126" s="3" t="str">
        <f t="shared" si="1"/>
        <v>OMN</v>
      </c>
      <c r="Q126" t="s">
        <v>405</v>
      </c>
      <c r="R126" t="s">
        <v>43</v>
      </c>
      <c r="S126" s="1">
        <v>46125</v>
      </c>
      <c r="T126" t="s">
        <v>121</v>
      </c>
      <c r="U126" t="s">
        <v>406</v>
      </c>
      <c r="V126">
        <v>2</v>
      </c>
    </row>
    <row r="127" spans="1:22">
      <c r="A127" s="2" t="str">
        <f>IF(C127="","",VLOOKUP(C127,[1]ISO辞書!A:C,2,FALSE))</f>
        <v>ZAF</v>
      </c>
      <c r="B127" s="3" t="str">
        <f>IF(C127="","",VLOOKUP(C127,[1]ISO辞書!A:C,3,FALSE))</f>
        <v>South Africa</v>
      </c>
      <c r="C127" t="s">
        <v>407</v>
      </c>
      <c r="D127" t="s">
        <v>408</v>
      </c>
      <c r="E127" t="s">
        <v>409</v>
      </c>
      <c r="J127" t="s">
        <v>200</v>
      </c>
      <c r="M127" s="2" t="str">
        <f>IF(J127="","",VLOOKUP(J127,[1]ISO辞書!A:B,2,FALSE))</f>
        <v>DEU</v>
      </c>
      <c r="N127" s="2" t="str">
        <f>IF(K127="","",VLOOKUP(K127,[1]ISO辞書!A:B,2,FALSE))</f>
        <v/>
      </c>
      <c r="O127" s="2" t="str">
        <f>IF(L127="","",VLOOKUP(L127,[1]ISO辞書!A:B,2,FALSE))</f>
        <v/>
      </c>
      <c r="P127" s="3" t="str">
        <f t="shared" si="1"/>
        <v>DEU</v>
      </c>
      <c r="Q127" t="s">
        <v>410</v>
      </c>
      <c r="R127" t="s">
        <v>43</v>
      </c>
      <c r="S127" s="1">
        <v>46125</v>
      </c>
      <c r="T127" t="s">
        <v>121</v>
      </c>
      <c r="U127" t="s">
        <v>411</v>
      </c>
      <c r="V127">
        <v>3</v>
      </c>
    </row>
    <row r="128" spans="1:22">
      <c r="A128" s="2" t="str">
        <f>IF(C128="","",VLOOKUP(C128,[1]ISO辞書!A:C,2,FALSE))</f>
        <v>NGA</v>
      </c>
      <c r="B128" s="3" t="str">
        <f>IF(C128="","",VLOOKUP(C128,[1]ISO辞書!A:C,3,FALSE))</f>
        <v>Nigeria</v>
      </c>
      <c r="C128" t="s">
        <v>412</v>
      </c>
      <c r="D128" t="s">
        <v>413</v>
      </c>
      <c r="E128" t="s">
        <v>414</v>
      </c>
      <c r="M128" s="2" t="str">
        <f>IF(J128="","",VLOOKUP(J128,[1]ISO辞書!A:B,2,FALSE))</f>
        <v/>
      </c>
      <c r="N128" s="2" t="str">
        <f>IF(K128="","",VLOOKUP(K128,[1]ISO辞書!A:B,2,FALSE))</f>
        <v/>
      </c>
      <c r="O128" s="2" t="str">
        <f>IF(L128="","",VLOOKUP(L128,[1]ISO辞書!A:B,2,FALSE))</f>
        <v/>
      </c>
      <c r="P128" s="3" t="str">
        <f t="shared" si="1"/>
        <v/>
      </c>
      <c r="Q128" t="s">
        <v>415</v>
      </c>
      <c r="R128" t="s">
        <v>55</v>
      </c>
      <c r="S128" s="1">
        <v>46125</v>
      </c>
      <c r="T128" t="s">
        <v>121</v>
      </c>
      <c r="U128" t="s">
        <v>416</v>
      </c>
      <c r="V128">
        <v>3</v>
      </c>
    </row>
    <row r="129" spans="1:22">
      <c r="A129" s="2" t="str">
        <f>IF(C129="","",VLOOKUP(C129,[1]ISO辞書!A:C,2,FALSE))</f>
        <v>NGA</v>
      </c>
      <c r="B129" s="3" t="str">
        <f>IF(C129="","",VLOOKUP(C129,[1]ISO辞書!A:C,3,FALSE))</f>
        <v>Nigeria</v>
      </c>
      <c r="C129" t="s">
        <v>412</v>
      </c>
      <c r="D129" t="s">
        <v>417</v>
      </c>
      <c r="E129" t="s">
        <v>418</v>
      </c>
      <c r="J129" t="s">
        <v>419</v>
      </c>
      <c r="M129" s="2" t="str">
        <f>IF(J129="","",VLOOKUP(J129,[1]ISO辞書!A:B,2,FALSE))</f>
        <v>MAR</v>
      </c>
      <c r="N129" s="2" t="str">
        <f>IF(K129="","",VLOOKUP(K129,[1]ISO辞書!A:B,2,FALSE))</f>
        <v/>
      </c>
      <c r="O129" s="2" t="str">
        <f>IF(L129="","",VLOOKUP(L129,[1]ISO辞書!A:B,2,FALSE))</f>
        <v/>
      </c>
      <c r="P129" s="3" t="str">
        <f t="shared" si="1"/>
        <v>MAR</v>
      </c>
      <c r="Q129" t="s">
        <v>420</v>
      </c>
      <c r="R129" t="s">
        <v>43</v>
      </c>
      <c r="S129" s="1">
        <v>46125</v>
      </c>
      <c r="T129" t="s">
        <v>121</v>
      </c>
      <c r="U129" t="s">
        <v>421</v>
      </c>
      <c r="V129">
        <v>3</v>
      </c>
    </row>
    <row r="130" spans="1:22">
      <c r="A130" s="2" t="str">
        <f>IF(C130="","",VLOOKUP(C130,[1]ISO辞書!A:C,2,FALSE))</f>
        <v>CAN</v>
      </c>
      <c r="B130" s="3" t="str">
        <f>IF(C130="","",VLOOKUP(C130,[1]ISO辞書!A:C,3,FALSE))</f>
        <v>Canada</v>
      </c>
      <c r="C130" t="s">
        <v>436</v>
      </c>
      <c r="D130" t="s">
        <v>437</v>
      </c>
      <c r="E130" t="s">
        <v>438</v>
      </c>
      <c r="M130" s="2" t="str">
        <f>IF(J130="","",VLOOKUP(J130,[1]ISO辞書!A:B,2,FALSE))</f>
        <v/>
      </c>
      <c r="N130" s="2" t="str">
        <f>IF(K130="","",VLOOKUP(K130,[1]ISO辞書!A:B,2,FALSE))</f>
        <v/>
      </c>
      <c r="O130" s="2" t="str">
        <f>IF(L130="","",VLOOKUP(L130,[1]ISO辞書!A:B,2,FALSE))</f>
        <v/>
      </c>
      <c r="P130" s="3" t="str">
        <f t="shared" ref="P130:P193" si="2">_xlfn.TEXTJOIN(";",TRUE,M130:O130)</f>
        <v/>
      </c>
      <c r="Q130" t="s">
        <v>439</v>
      </c>
      <c r="R130" t="s">
        <v>64</v>
      </c>
      <c r="S130" s="1">
        <v>46125</v>
      </c>
      <c r="T130" t="s">
        <v>121</v>
      </c>
      <c r="U130" t="s">
        <v>440</v>
      </c>
      <c r="V130">
        <v>4</v>
      </c>
    </row>
    <row r="131" spans="1:22">
      <c r="A131" s="2" t="str">
        <f>IF(C131="","",VLOOKUP(C131,[1]ISO辞書!A:C,2,FALSE))</f>
        <v>FRA</v>
      </c>
      <c r="B131" s="3" t="str">
        <f>IF(C131="","",VLOOKUP(C131,[1]ISO辞書!A:C,3,FALSE))</f>
        <v>France</v>
      </c>
      <c r="C131" t="s">
        <v>158</v>
      </c>
      <c r="D131" t="s">
        <v>441</v>
      </c>
      <c r="E131" t="s">
        <v>442</v>
      </c>
      <c r="J131" t="s">
        <v>187</v>
      </c>
      <c r="M131" s="2" t="str">
        <f>IF(J131="","",VLOOKUP(J131,[1]ISO辞書!A:B,2,FALSE))</f>
        <v>VEN</v>
      </c>
      <c r="N131" s="2" t="str">
        <f>IF(K131="","",VLOOKUP(K131,[1]ISO辞書!A:B,2,FALSE))</f>
        <v/>
      </c>
      <c r="O131" s="2" t="str">
        <f>IF(L131="","",VLOOKUP(L131,[1]ISO辞書!A:B,2,FALSE))</f>
        <v/>
      </c>
      <c r="P131" s="3" t="str">
        <f t="shared" si="2"/>
        <v>VEN</v>
      </c>
      <c r="Q131" t="s">
        <v>443</v>
      </c>
      <c r="R131" t="s">
        <v>43</v>
      </c>
      <c r="S131" s="1">
        <v>46125</v>
      </c>
      <c r="T131" t="s">
        <v>121</v>
      </c>
      <c r="U131" t="s">
        <v>444</v>
      </c>
      <c r="V131">
        <v>3</v>
      </c>
    </row>
    <row r="132" spans="1:22">
      <c r="A132" s="2" t="str">
        <f>IF(C132="","",VLOOKUP(C132,[1]ISO辞書!A:C,2,FALSE))</f>
        <v>PRK</v>
      </c>
      <c r="B132" s="3" t="str">
        <f>IF(C132="","",VLOOKUP(C132,[1]ISO辞書!A:C,3,FALSE))</f>
        <v>North Korea</v>
      </c>
      <c r="C132" t="s">
        <v>336</v>
      </c>
      <c r="D132" t="s">
        <v>445</v>
      </c>
      <c r="E132" t="s">
        <v>446</v>
      </c>
      <c r="J132" t="s">
        <v>229</v>
      </c>
      <c r="K132" t="s">
        <v>178</v>
      </c>
      <c r="L132" t="s">
        <v>132</v>
      </c>
      <c r="M132" s="2" t="str">
        <f>IF(J132="","",VLOOKUP(J132,[1]ISO辞書!A:B,2,FALSE))</f>
        <v>JPN</v>
      </c>
      <c r="N132" s="2" t="str">
        <f>IF(K132="","",VLOOKUP(K132,[1]ISO辞書!A:B,2,FALSE))</f>
        <v>KOR</v>
      </c>
      <c r="O132" s="2" t="str">
        <f>IF(L132="","",VLOOKUP(L132,[1]ISO辞書!A:B,2,FALSE))</f>
        <v>USA</v>
      </c>
      <c r="P132" s="3" t="str">
        <f t="shared" si="2"/>
        <v>JPN;KOR;USA</v>
      </c>
      <c r="Q132" t="s">
        <v>447</v>
      </c>
      <c r="R132" t="s">
        <v>22</v>
      </c>
      <c r="S132" s="1">
        <v>46125</v>
      </c>
      <c r="T132" t="s">
        <v>121</v>
      </c>
      <c r="U132" t="s">
        <v>448</v>
      </c>
      <c r="V132">
        <v>3</v>
      </c>
    </row>
    <row r="133" spans="1:22">
      <c r="A133" s="2" t="str">
        <f>IF(C133="","",VLOOKUP(C133,[1]ISO辞書!A:C,2,FALSE))</f>
        <v>CHN</v>
      </c>
      <c r="B133" s="3" t="str">
        <f>IF(C133="","",VLOOKUP(C133,[1]ISO辞書!A:C,3,FALSE))</f>
        <v>China</v>
      </c>
      <c r="C133" t="s">
        <v>245</v>
      </c>
      <c r="D133" t="s">
        <v>449</v>
      </c>
      <c r="E133" t="s">
        <v>450</v>
      </c>
      <c r="J133" t="s">
        <v>140</v>
      </c>
      <c r="K133" t="s">
        <v>132</v>
      </c>
      <c r="M133" s="2" t="str">
        <f>IF(J133="","",VLOOKUP(J133,[1]ISO辞書!A:B,2,FALSE))</f>
        <v>IRN</v>
      </c>
      <c r="N133" s="2" t="str">
        <f>IF(K133="","",VLOOKUP(K133,[1]ISO辞書!A:B,2,FALSE))</f>
        <v>USA</v>
      </c>
      <c r="O133" s="2" t="str">
        <f>IF(L133="","",VLOOKUP(L133,[1]ISO辞書!A:B,2,FALSE))</f>
        <v/>
      </c>
      <c r="P133" s="3" t="str">
        <f t="shared" si="2"/>
        <v>IRN;USA</v>
      </c>
      <c r="Q133" t="s">
        <v>451</v>
      </c>
      <c r="R133" t="s">
        <v>43</v>
      </c>
      <c r="S133" s="1">
        <v>46125</v>
      </c>
      <c r="T133" t="s">
        <v>121</v>
      </c>
      <c r="U133" t="s">
        <v>452</v>
      </c>
      <c r="V133">
        <v>3</v>
      </c>
    </row>
    <row r="134" spans="1:22">
      <c r="A134" s="2" t="str">
        <f>IF(C134="","",VLOOKUP(C134,[1]ISO辞書!A:C,2,FALSE))</f>
        <v>USA</v>
      </c>
      <c r="B134" s="3" t="str">
        <f>IF(C134="","",VLOOKUP(C134,[1]ISO辞書!A:C,3,FALSE))</f>
        <v>America</v>
      </c>
      <c r="C134" t="s">
        <v>132</v>
      </c>
      <c r="D134" t="s">
        <v>453</v>
      </c>
      <c r="E134" t="s">
        <v>454</v>
      </c>
      <c r="J134" t="s">
        <v>366</v>
      </c>
      <c r="K134" t="s">
        <v>455</v>
      </c>
      <c r="M134" s="2" t="str">
        <f>IF(J134="","",VLOOKUP(J134,[1]ISO辞書!A:B,2,FALSE))</f>
        <v>AUS</v>
      </c>
      <c r="N134" s="2" t="str">
        <f>IF(K134="","",VLOOKUP(K134,[1]ISO辞書!A:B,2,FALSE))</f>
        <v>PHL</v>
      </c>
      <c r="O134" s="2" t="str">
        <f>IF(L134="","",VLOOKUP(L134,[1]ISO辞書!A:B,2,FALSE))</f>
        <v/>
      </c>
      <c r="P134" s="3" t="str">
        <f t="shared" si="2"/>
        <v>AUS;PHL</v>
      </c>
      <c r="Q134" t="s">
        <v>456</v>
      </c>
      <c r="R134" t="s">
        <v>22</v>
      </c>
      <c r="S134" s="1">
        <v>46125</v>
      </c>
      <c r="T134" t="s">
        <v>121</v>
      </c>
      <c r="U134" t="s">
        <v>457</v>
      </c>
      <c r="V134">
        <v>4</v>
      </c>
    </row>
    <row r="135" spans="1:22">
      <c r="A135" s="2" t="str">
        <f>IF(C135="","",VLOOKUP(C135,[1]ISO辞書!A:C,2,FALSE))</f>
        <v>USA</v>
      </c>
      <c r="B135" s="3" t="str">
        <f>IF(C135="","",VLOOKUP(C135,[1]ISO辞書!A:C,3,FALSE))</f>
        <v>America</v>
      </c>
      <c r="C135" t="s">
        <v>132</v>
      </c>
      <c r="D135" t="s">
        <v>458</v>
      </c>
      <c r="E135" t="s">
        <v>459</v>
      </c>
      <c r="J135" t="s">
        <v>140</v>
      </c>
      <c r="M135" s="2" t="str">
        <f>IF(J135="","",VLOOKUP(J135,[1]ISO辞書!A:B,2,FALSE))</f>
        <v>IRN</v>
      </c>
      <c r="N135" s="2" t="str">
        <f>IF(K135="","",VLOOKUP(K135,[1]ISO辞書!A:B,2,FALSE))</f>
        <v/>
      </c>
      <c r="O135" s="2" t="str">
        <f>IF(L135="","",VLOOKUP(L135,[1]ISO辞書!A:B,2,FALSE))</f>
        <v/>
      </c>
      <c r="P135" s="3" t="str">
        <f t="shared" si="2"/>
        <v>IRN</v>
      </c>
      <c r="Q135" t="s">
        <v>460</v>
      </c>
      <c r="R135" t="s">
        <v>22</v>
      </c>
      <c r="S135" s="1">
        <v>46125</v>
      </c>
      <c r="T135" t="s">
        <v>121</v>
      </c>
      <c r="U135" t="s">
        <v>461</v>
      </c>
      <c r="V135">
        <v>5</v>
      </c>
    </row>
    <row r="136" spans="1:22">
      <c r="A136" s="2" t="str">
        <f>IF(C136="","",VLOOKUP(C136,[1]ISO辞書!A:C,2,FALSE))</f>
        <v>POL</v>
      </c>
      <c r="B136" s="3" t="str">
        <f>IF(C136="","",VLOOKUP(C136,[1]ISO辞書!A:C,3,FALSE))</f>
        <v>Poland</v>
      </c>
      <c r="C136" t="s">
        <v>462</v>
      </c>
      <c r="D136" t="s">
        <v>463</v>
      </c>
      <c r="E136" t="s">
        <v>464</v>
      </c>
      <c r="J136" t="s">
        <v>178</v>
      </c>
      <c r="M136" s="2" t="str">
        <f>IF(J136="","",VLOOKUP(J136,[1]ISO辞書!A:B,2,FALSE))</f>
        <v>KOR</v>
      </c>
      <c r="N136" s="2" t="str">
        <f>IF(K136="","",VLOOKUP(K136,[1]ISO辞書!A:B,2,FALSE))</f>
        <v/>
      </c>
      <c r="O136" s="2" t="str">
        <f>IF(L136="","",VLOOKUP(L136,[1]ISO辞書!A:B,2,FALSE))</f>
        <v/>
      </c>
      <c r="P136" s="3" t="str">
        <f t="shared" si="2"/>
        <v>KOR</v>
      </c>
      <c r="Q136" t="s">
        <v>465</v>
      </c>
      <c r="R136" t="s">
        <v>43</v>
      </c>
      <c r="S136" s="1">
        <v>46125</v>
      </c>
      <c r="T136" t="s">
        <v>121</v>
      </c>
      <c r="U136" t="s">
        <v>466</v>
      </c>
      <c r="V136">
        <v>3</v>
      </c>
    </row>
    <row r="137" spans="1:22">
      <c r="A137" s="2" t="str">
        <f>IF(C137="","",VLOOKUP(C137,[1]ISO辞書!A:C,2,FALSE))</f>
        <v>HUN</v>
      </c>
      <c r="B137" s="3" t="str">
        <f>IF(C137="","",VLOOKUP(C137,[1]ISO辞書!A:C,3,FALSE))</f>
        <v>Hungary</v>
      </c>
      <c r="C137" t="s">
        <v>476</v>
      </c>
      <c r="D137" t="s">
        <v>477</v>
      </c>
      <c r="E137" t="s">
        <v>478</v>
      </c>
      <c r="M137" s="2" t="str">
        <f>IF(J137="","",VLOOKUP(J137,[1]ISO辞書!A:B,2,FALSE))</f>
        <v/>
      </c>
      <c r="N137" s="2" t="str">
        <f>IF(K137="","",VLOOKUP(K137,[1]ISO辞書!A:B,2,FALSE))</f>
        <v/>
      </c>
      <c r="O137" s="2" t="str">
        <f>IF(L137="","",VLOOKUP(L137,[1]ISO辞書!A:B,2,FALSE))</f>
        <v/>
      </c>
      <c r="P137" s="3" t="str">
        <f t="shared" si="2"/>
        <v/>
      </c>
      <c r="R137" t="s">
        <v>64</v>
      </c>
      <c r="S137" s="1">
        <v>46125</v>
      </c>
      <c r="T137" t="s">
        <v>121</v>
      </c>
      <c r="U137" t="s">
        <v>479</v>
      </c>
      <c r="V137">
        <v>4</v>
      </c>
    </row>
    <row r="138" spans="1:22">
      <c r="A138" s="2" t="str">
        <f>IF(C138="","",VLOOKUP(C138,[1]ISO辞書!A:C,2,FALSE))</f>
        <v>GBR</v>
      </c>
      <c r="B138" s="3" t="str">
        <f>IF(C138="","",VLOOKUP(C138,[1]ISO辞書!A:C,3,FALSE))</f>
        <v>Britain</v>
      </c>
      <c r="C138" t="s">
        <v>144</v>
      </c>
      <c r="D138" t="s">
        <v>484</v>
      </c>
      <c r="E138" t="s">
        <v>485</v>
      </c>
      <c r="J138" t="s">
        <v>132</v>
      </c>
      <c r="K138" t="s">
        <v>158</v>
      </c>
      <c r="L138" t="s">
        <v>140</v>
      </c>
      <c r="M138" s="2" t="str">
        <f>IF(J138="","",VLOOKUP(J138,[1]ISO辞書!A:B,2,FALSE))</f>
        <v>USA</v>
      </c>
      <c r="N138" s="2" t="str">
        <f>IF(K138="","",VLOOKUP(K138,[1]ISO辞書!A:B,2,FALSE))</f>
        <v>FRA</v>
      </c>
      <c r="O138" s="2" t="str">
        <f>IF(L138="","",VLOOKUP(L138,[1]ISO辞書!A:B,2,FALSE))</f>
        <v>IRN</v>
      </c>
      <c r="P138" s="3" t="str">
        <f t="shared" si="2"/>
        <v>USA;FRA;IRN</v>
      </c>
      <c r="Q138" t="s">
        <v>486</v>
      </c>
      <c r="R138" t="s">
        <v>22</v>
      </c>
      <c r="S138" s="1">
        <v>46125</v>
      </c>
      <c r="T138" t="s">
        <v>121</v>
      </c>
      <c r="U138" t="s">
        <v>487</v>
      </c>
      <c r="V138">
        <v>5</v>
      </c>
    </row>
    <row r="139" spans="1:22">
      <c r="A139" s="2" t="str">
        <f>IF(C139="","",VLOOKUP(C139,[1]ISO辞書!A:C,2,FALSE))</f>
        <v>SDN</v>
      </c>
      <c r="B139" s="3" t="str">
        <f>IF(C139="","",VLOOKUP(C139,[1]ISO辞書!A:C,3,FALSE))</f>
        <v>Sudan</v>
      </c>
      <c r="C139" t="s">
        <v>397</v>
      </c>
      <c r="D139" t="s">
        <v>398</v>
      </c>
      <c r="E139" t="s">
        <v>399</v>
      </c>
      <c r="M139" s="2" t="str">
        <f>IF(J139="","",VLOOKUP(J139,[1]ISO辞書!A:B,2,FALSE))</f>
        <v/>
      </c>
      <c r="N139" s="2" t="str">
        <f>IF(K139="","",VLOOKUP(K139,[1]ISO辞書!A:B,2,FALSE))</f>
        <v/>
      </c>
      <c r="O139" s="2" t="str">
        <f>IF(L139="","",VLOOKUP(L139,[1]ISO辞書!A:B,2,FALSE))</f>
        <v/>
      </c>
      <c r="P139" s="3" t="str">
        <f t="shared" si="2"/>
        <v/>
      </c>
      <c r="Q139" t="s">
        <v>400</v>
      </c>
      <c r="R139" t="s">
        <v>55</v>
      </c>
      <c r="S139" s="1">
        <v>46126</v>
      </c>
      <c r="T139" t="s">
        <v>121</v>
      </c>
      <c r="U139" t="s">
        <v>401</v>
      </c>
      <c r="V139">
        <v>2</v>
      </c>
    </row>
    <row r="140" spans="1:22">
      <c r="A140" s="2" t="str">
        <f>IF(C140="","",VLOOKUP(C140,[1]ISO辞書!A:C,2,FALSE))</f>
        <v>ESP</v>
      </c>
      <c r="B140" s="3" t="str">
        <f>IF(C140="","",VLOOKUP(C140,[1]ISO辞書!A:C,3,FALSE))</f>
        <v>Spain</v>
      </c>
      <c r="C140" t="s">
        <v>471</v>
      </c>
      <c r="D140" t="s">
        <v>472</v>
      </c>
      <c r="E140" t="s">
        <v>473</v>
      </c>
      <c r="J140" t="s">
        <v>245</v>
      </c>
      <c r="M140" s="2" t="str">
        <f>IF(J140="","",VLOOKUP(J140,[1]ISO辞書!A:B,2,FALSE))</f>
        <v>CHN</v>
      </c>
      <c r="N140" s="2" t="str">
        <f>IF(K140="","",VLOOKUP(K140,[1]ISO辞書!A:B,2,FALSE))</f>
        <v/>
      </c>
      <c r="O140" s="2" t="str">
        <f>IF(L140="","",VLOOKUP(L140,[1]ISO辞書!A:B,2,FALSE))</f>
        <v/>
      </c>
      <c r="P140" s="3" t="str">
        <f t="shared" si="2"/>
        <v>CHN</v>
      </c>
      <c r="Q140" t="s">
        <v>474</v>
      </c>
      <c r="R140" t="s">
        <v>43</v>
      </c>
      <c r="S140" s="1">
        <v>46126</v>
      </c>
      <c r="T140" t="s">
        <v>121</v>
      </c>
      <c r="U140" t="s">
        <v>475</v>
      </c>
      <c r="V140">
        <v>3</v>
      </c>
    </row>
    <row r="141" spans="1:22">
      <c r="A141" s="2" t="str">
        <f>IF(C141="","",VLOOKUP(C141,[1]ISO辞書!A:C,2,FALSE))</f>
        <v>USA</v>
      </c>
      <c r="B141" s="3" t="str">
        <f>IF(C141="","",VLOOKUP(C141,[1]ISO辞書!A:C,3,FALSE))</f>
        <v>America</v>
      </c>
      <c r="C141" t="s">
        <v>132</v>
      </c>
      <c r="D141" t="s">
        <v>503</v>
      </c>
      <c r="E141" t="s">
        <v>504</v>
      </c>
      <c r="J141" t="s">
        <v>144</v>
      </c>
      <c r="K141" t="s">
        <v>505</v>
      </c>
      <c r="M141" s="2" t="str">
        <f>IF(J141="","",VLOOKUP(J141,[1]ISO辞書!A:B,2,FALSE))</f>
        <v>GBR</v>
      </c>
      <c r="N141" s="2" t="str">
        <f>IF(K141="","",VLOOKUP(K141,[1]ISO辞書!A:B,2,FALSE))</f>
        <v>MUS</v>
      </c>
      <c r="O141" s="2" t="str">
        <f>IF(L141="","",VLOOKUP(L141,[1]ISO辞書!A:B,2,FALSE))</f>
        <v/>
      </c>
      <c r="P141" s="3" t="str">
        <f t="shared" si="2"/>
        <v>GBR;MUS</v>
      </c>
      <c r="Q141" t="s">
        <v>528</v>
      </c>
      <c r="R141" t="s">
        <v>43</v>
      </c>
      <c r="S141" s="1">
        <v>46126</v>
      </c>
      <c r="T141" t="s">
        <v>134</v>
      </c>
      <c r="U141" t="s">
        <v>529</v>
      </c>
      <c r="V141">
        <v>4</v>
      </c>
    </row>
    <row r="142" spans="1:22">
      <c r="A142" s="2" t="str">
        <f>IF(C142="","",VLOOKUP(C142,[1]ISO辞書!A:C,2,FALSE))</f>
        <v>ITA</v>
      </c>
      <c r="B142" s="3" t="str">
        <f>IF(C142="","",VLOOKUP(C142,[1]ISO辞書!A:C,3,FALSE))</f>
        <v>Italy</v>
      </c>
      <c r="C142" t="s">
        <v>517</v>
      </c>
      <c r="D142" t="s">
        <v>518</v>
      </c>
      <c r="E142" t="s">
        <v>519</v>
      </c>
      <c r="J142" t="s">
        <v>520</v>
      </c>
      <c r="M142" s="2" t="str">
        <f>IF(J142="","",VLOOKUP(J142,[1]ISO辞書!A:B,2,FALSE))</f>
        <v>USA</v>
      </c>
      <c r="N142" s="2" t="str">
        <f>IF(K142="","",VLOOKUP(K142,[1]ISO辞書!A:B,2,FALSE))</f>
        <v/>
      </c>
      <c r="O142" s="2" t="str">
        <f>IF(L142="","",VLOOKUP(L142,[1]ISO辞書!A:B,2,FALSE))</f>
        <v/>
      </c>
      <c r="P142" s="3" t="str">
        <f t="shared" si="2"/>
        <v>USA</v>
      </c>
      <c r="Q142" t="s">
        <v>538</v>
      </c>
      <c r="R142" t="s">
        <v>43</v>
      </c>
      <c r="S142" s="1">
        <v>46126</v>
      </c>
      <c r="T142" t="s">
        <v>134</v>
      </c>
      <c r="U142" t="s">
        <v>539</v>
      </c>
      <c r="V142">
        <v>5</v>
      </c>
    </row>
    <row r="143" spans="1:22">
      <c r="A143" s="2" t="str">
        <f>IF(C143="","",VLOOKUP(C143,[1]ISO辞書!A:C,2,FALSE))</f>
        <v>IND</v>
      </c>
      <c r="B143" s="3" t="str">
        <f>IF(C143="","",VLOOKUP(C143,[1]ISO辞書!A:C,3,FALSE))</f>
        <v>India</v>
      </c>
      <c r="C143" t="s">
        <v>224</v>
      </c>
      <c r="D143" t="s">
        <v>521</v>
      </c>
      <c r="E143" t="s">
        <v>522</v>
      </c>
      <c r="J143" t="s">
        <v>520</v>
      </c>
      <c r="M143" s="2" t="str">
        <f>IF(J143="","",VLOOKUP(J143,[1]ISO辞書!A:B,2,FALSE))</f>
        <v>USA</v>
      </c>
      <c r="N143" s="2" t="str">
        <f>IF(K143="","",VLOOKUP(K143,[1]ISO辞書!A:B,2,FALSE))</f>
        <v/>
      </c>
      <c r="O143" s="2" t="str">
        <f>IF(L143="","",VLOOKUP(L143,[1]ISO辞書!A:B,2,FALSE))</f>
        <v/>
      </c>
      <c r="P143" s="3" t="str">
        <f t="shared" si="2"/>
        <v>USA</v>
      </c>
      <c r="Q143" t="s">
        <v>540</v>
      </c>
      <c r="R143" t="s">
        <v>43</v>
      </c>
      <c r="S143" s="1">
        <v>46126</v>
      </c>
      <c r="T143" t="s">
        <v>134</v>
      </c>
      <c r="U143" t="s">
        <v>541</v>
      </c>
      <c r="V143">
        <v>4</v>
      </c>
    </row>
    <row r="144" spans="1:22">
      <c r="A144" s="2" t="str">
        <f>IF(C144="","",VLOOKUP(C144,[1]ISO辞書!A:C,2,FALSE))</f>
        <v>ITA</v>
      </c>
      <c r="B144" s="3" t="str">
        <f>IF(C144="","",VLOOKUP(C144,[1]ISO辞書!A:C,3,FALSE))</f>
        <v>Italy</v>
      </c>
      <c r="C144" t="s">
        <v>517</v>
      </c>
      <c r="D144" t="s">
        <v>523</v>
      </c>
      <c r="E144" t="s">
        <v>524</v>
      </c>
      <c r="J144" t="s">
        <v>525</v>
      </c>
      <c r="M144" s="2" t="str">
        <f>IF(J144="","",VLOOKUP(J144,[1]ISO辞書!A:B,2,FALSE))</f>
        <v>ISR</v>
      </c>
      <c r="N144" s="2" t="str">
        <f>IF(K144="","",VLOOKUP(K144,[1]ISO辞書!A:B,2,FALSE))</f>
        <v/>
      </c>
      <c r="O144" s="2" t="str">
        <f>IF(L144="","",VLOOKUP(L144,[1]ISO辞書!A:B,2,FALSE))</f>
        <v/>
      </c>
      <c r="P144" s="3" t="str">
        <f t="shared" si="2"/>
        <v>ISR</v>
      </c>
      <c r="Q144" t="s">
        <v>542</v>
      </c>
      <c r="R144" t="s">
        <v>43</v>
      </c>
      <c r="S144" s="1">
        <v>46126</v>
      </c>
      <c r="T144" t="s">
        <v>134</v>
      </c>
      <c r="U144" t="s">
        <v>543</v>
      </c>
      <c r="V144">
        <v>5</v>
      </c>
    </row>
    <row r="145" spans="1:22">
      <c r="A145" s="2" t="str">
        <f>IF(C145="","",VLOOKUP(C145,[1]ISO辞書!A:C,2,FALSE))</f>
        <v>GBR</v>
      </c>
      <c r="B145" s="3" t="str">
        <f>IF(C145="","",VLOOKUP(C145,[1]ISO辞書!A:C,3,FALSE))</f>
        <v>Britain</v>
      </c>
      <c r="C145" t="s">
        <v>144</v>
      </c>
      <c r="D145" t="s">
        <v>501</v>
      </c>
      <c r="E145" t="s">
        <v>502</v>
      </c>
      <c r="J145" t="s">
        <v>150</v>
      </c>
      <c r="M145" s="2" t="str">
        <f>IF(J145="","",VLOOKUP(J145,[1]ISO辞書!A:B,2,FALSE))</f>
        <v>UKR</v>
      </c>
      <c r="N145" s="2" t="str">
        <f>IF(K145="","",VLOOKUP(K145,[1]ISO辞書!A:B,2,FALSE))</f>
        <v/>
      </c>
      <c r="O145" s="2" t="str">
        <f>IF(L145="","",VLOOKUP(L145,[1]ISO辞書!A:B,2,FALSE))</f>
        <v/>
      </c>
      <c r="P145" s="3" t="str">
        <f t="shared" si="2"/>
        <v>UKR</v>
      </c>
      <c r="Q145" t="s">
        <v>526</v>
      </c>
      <c r="R145" t="s">
        <v>22</v>
      </c>
      <c r="S145" s="1">
        <v>46127</v>
      </c>
      <c r="T145" t="s">
        <v>134</v>
      </c>
      <c r="U145" s="5" t="s">
        <v>527</v>
      </c>
      <c r="V145">
        <v>4</v>
      </c>
    </row>
    <row r="146" spans="1:22">
      <c r="A146" s="2" t="str">
        <f>IF(C146="","",VLOOKUP(C146,[1]ISO辞書!A:C,2,FALSE))</f>
        <v>IND</v>
      </c>
      <c r="B146" s="3" t="str">
        <f>IF(C146="","",VLOOKUP(C146,[1]ISO辞書!A:C,3,FALSE))</f>
        <v>India</v>
      </c>
      <c r="C146" t="s">
        <v>224</v>
      </c>
      <c r="D146" t="s">
        <v>506</v>
      </c>
      <c r="E146" t="s">
        <v>507</v>
      </c>
      <c r="M146" s="2" t="str">
        <f>IF(J146="","",VLOOKUP(J146,[1]ISO辞書!A:B,2,FALSE))</f>
        <v/>
      </c>
      <c r="N146" s="2" t="str">
        <f>IF(K146="","",VLOOKUP(K146,[1]ISO辞書!A:B,2,FALSE))</f>
        <v/>
      </c>
      <c r="O146" s="2" t="str">
        <f>IF(L146="","",VLOOKUP(L146,[1]ISO辞書!A:B,2,FALSE))</f>
        <v/>
      </c>
      <c r="P146" s="3" t="str">
        <f t="shared" si="2"/>
        <v/>
      </c>
      <c r="Q146" t="s">
        <v>530</v>
      </c>
      <c r="R146" t="s">
        <v>64</v>
      </c>
      <c r="S146" s="1">
        <v>46127</v>
      </c>
      <c r="T146" t="s">
        <v>134</v>
      </c>
      <c r="U146" t="s">
        <v>531</v>
      </c>
      <c r="V146">
        <v>4</v>
      </c>
    </row>
    <row r="147" spans="1:22">
      <c r="A147" s="2" t="str">
        <f>IF(C147="","",VLOOKUP(C147,[1]ISO辞書!A:C,2,FALSE))</f>
        <v>HUN</v>
      </c>
      <c r="B147" s="3" t="str">
        <f>IF(C147="","",VLOOKUP(C147,[1]ISO辞書!A:C,3,FALSE))</f>
        <v>Hungary</v>
      </c>
      <c r="C147" t="s">
        <v>508</v>
      </c>
      <c r="D147" t="s">
        <v>509</v>
      </c>
      <c r="E147" t="s">
        <v>510</v>
      </c>
      <c r="M147" s="2" t="str">
        <f>IF(J147="","",VLOOKUP(J147,[1]ISO辞書!A:B,2,FALSE))</f>
        <v/>
      </c>
      <c r="N147" s="2" t="str">
        <f>IF(K147="","",VLOOKUP(K147,[1]ISO辞書!A:B,2,FALSE))</f>
        <v/>
      </c>
      <c r="O147" s="2" t="str">
        <f>IF(L147="","",VLOOKUP(L147,[1]ISO辞書!A:B,2,FALSE))</f>
        <v/>
      </c>
      <c r="P147" s="3" t="str">
        <f t="shared" si="2"/>
        <v/>
      </c>
      <c r="Q147" t="s">
        <v>532</v>
      </c>
      <c r="R147" t="s">
        <v>64</v>
      </c>
      <c r="S147" s="1">
        <v>46127</v>
      </c>
      <c r="T147" t="s">
        <v>134</v>
      </c>
      <c r="U147" t="s">
        <v>533</v>
      </c>
      <c r="V147">
        <v>3</v>
      </c>
    </row>
    <row r="148" spans="1:22">
      <c r="A148" s="2" t="str">
        <f>IF(C148="","",VLOOKUP(C148,[1]ISO辞書!A:C,2,FALSE))</f>
        <v>PHL</v>
      </c>
      <c r="B148" s="3" t="str">
        <f>IF(C148="","",VLOOKUP(C148,[1]ISO辞書!A:C,3,FALSE))</f>
        <v>Philippines</v>
      </c>
      <c r="C148" t="s">
        <v>511</v>
      </c>
      <c r="D148" t="s">
        <v>512</v>
      </c>
      <c r="E148" t="s">
        <v>513</v>
      </c>
      <c r="M148" s="2" t="str">
        <f>IF(J148="","",VLOOKUP(J148,[1]ISO辞書!A:B,2,FALSE))</f>
        <v/>
      </c>
      <c r="N148" s="2" t="str">
        <f>IF(K148="","",VLOOKUP(K148,[1]ISO辞書!A:B,2,FALSE))</f>
        <v/>
      </c>
      <c r="O148" s="2" t="str">
        <f>IF(L148="","",VLOOKUP(L148,[1]ISO辞書!A:B,2,FALSE))</f>
        <v/>
      </c>
      <c r="P148" s="3" t="str">
        <f t="shared" si="2"/>
        <v/>
      </c>
      <c r="Q148" t="s">
        <v>534</v>
      </c>
      <c r="R148" t="s">
        <v>64</v>
      </c>
      <c r="S148" s="1">
        <v>46127</v>
      </c>
      <c r="T148" t="s">
        <v>134</v>
      </c>
      <c r="U148" t="s">
        <v>535</v>
      </c>
      <c r="V148">
        <v>3</v>
      </c>
    </row>
    <row r="149" spans="1:22">
      <c r="A149" s="2" t="str">
        <f>IF(C149="","",VLOOKUP(C149,[1]ISO辞書!A:C,2,FALSE))</f>
        <v>JPN</v>
      </c>
      <c r="B149" s="3" t="str">
        <f>IF(C149="","",VLOOKUP(C149,[1]ISO辞書!A:C,3,FALSE))</f>
        <v>Japan</v>
      </c>
      <c r="C149" t="s">
        <v>514</v>
      </c>
      <c r="D149" t="s">
        <v>515</v>
      </c>
      <c r="E149" t="s">
        <v>516</v>
      </c>
      <c r="M149" s="2" t="str">
        <f>IF(J149="","",VLOOKUP(J149,[1]ISO辞書!A:B,2,FALSE))</f>
        <v/>
      </c>
      <c r="N149" s="2" t="str">
        <f>IF(K149="","",VLOOKUP(K149,[1]ISO辞書!A:B,2,FALSE))</f>
        <v/>
      </c>
      <c r="O149" s="2" t="str">
        <f>IF(L149="","",VLOOKUP(L149,[1]ISO辞書!A:B,2,FALSE))</f>
        <v/>
      </c>
      <c r="P149" s="3" t="str">
        <f t="shared" si="2"/>
        <v/>
      </c>
      <c r="Q149" t="s">
        <v>536</v>
      </c>
      <c r="R149" t="s">
        <v>43</v>
      </c>
      <c r="S149" s="1">
        <v>46127</v>
      </c>
      <c r="T149" t="s">
        <v>134</v>
      </c>
      <c r="U149" t="s">
        <v>537</v>
      </c>
      <c r="V149">
        <v>4</v>
      </c>
    </row>
    <row r="150" spans="1:22">
      <c r="A150" s="2" t="str">
        <f>IF(C150="","",VLOOKUP(C150,[1]ISO辞書!A:C,2,FALSE))</f>
        <v>SOM</v>
      </c>
      <c r="B150" s="3" t="str">
        <f>IF(C150="","",VLOOKUP(C150,[1]ISO辞書!A:C,3,FALSE))</f>
        <v>Somalia</v>
      </c>
      <c r="C150" t="s">
        <v>195</v>
      </c>
      <c r="D150" t="s">
        <v>761</v>
      </c>
      <c r="E150" t="s">
        <v>762</v>
      </c>
      <c r="J150" t="s">
        <v>118</v>
      </c>
      <c r="M150" s="2" t="str">
        <f>IF(J150="","",VLOOKUP(J150,[1]ISO辞書!A:B,2,FALSE))</f>
        <v>ISR</v>
      </c>
      <c r="N150" s="2" t="str">
        <f>IF(K150="","",VLOOKUP(K150,[1]ISO辞書!A:B,2,FALSE))</f>
        <v/>
      </c>
      <c r="O150" s="2" t="str">
        <f>IF(L150="","",VLOOKUP(L150,[1]ISO辞書!A:B,2,FALSE))</f>
        <v/>
      </c>
      <c r="P150" s="3" t="str">
        <f t="shared" si="2"/>
        <v>ISR</v>
      </c>
      <c r="Q150" t="s">
        <v>797</v>
      </c>
      <c r="R150" t="s">
        <v>43</v>
      </c>
      <c r="S150" s="1">
        <v>46128</v>
      </c>
      <c r="T150" t="s">
        <v>134</v>
      </c>
      <c r="U150" t="s">
        <v>798</v>
      </c>
      <c r="V150">
        <v>4</v>
      </c>
    </row>
    <row r="151" spans="1:22">
      <c r="A151" s="2" t="str">
        <f>IF(C151="","",VLOOKUP(C151,[1]ISO辞書!A:C,2,FALSE))</f>
        <v>MYS</v>
      </c>
      <c r="B151" s="3" t="str">
        <f>IF(C151="","",VLOOKUP(C151,[1]ISO辞書!A:C,3,FALSE))</f>
        <v>Malaysia</v>
      </c>
      <c r="C151" t="s">
        <v>776</v>
      </c>
      <c r="D151" t="s">
        <v>777</v>
      </c>
      <c r="E151" t="s">
        <v>778</v>
      </c>
      <c r="J151" t="s">
        <v>366</v>
      </c>
      <c r="M151" s="2" t="str">
        <f>IF(J151="","",VLOOKUP(J151,[1]ISO辞書!A:B,2,FALSE))</f>
        <v>AUS</v>
      </c>
      <c r="N151" s="2" t="str">
        <f>IF(K151="","",VLOOKUP(K151,[1]ISO辞書!A:B,2,FALSE))</f>
        <v/>
      </c>
      <c r="O151" s="2" t="str">
        <f>IF(L151="","",VLOOKUP(L151,[1]ISO辞書!A:B,2,FALSE))</f>
        <v/>
      </c>
      <c r="P151" s="3" t="str">
        <f t="shared" si="2"/>
        <v>AUS</v>
      </c>
      <c r="Q151" t="s">
        <v>811</v>
      </c>
      <c r="R151" t="s">
        <v>43</v>
      </c>
      <c r="S151" s="1">
        <v>46128</v>
      </c>
      <c r="T151" t="s">
        <v>121</v>
      </c>
      <c r="U151" t="s">
        <v>812</v>
      </c>
      <c r="V151">
        <v>3</v>
      </c>
    </row>
    <row r="152" spans="1:22">
      <c r="A152" s="2" t="str">
        <f>IF(C152="","",VLOOKUP(C152,[1]ISO辞書!A:C,2,FALSE))</f>
        <v>IND</v>
      </c>
      <c r="B152" s="3" t="str">
        <f>IF(C152="","",VLOOKUP(C152,[1]ISO辞書!A:C,3,FALSE))</f>
        <v>India</v>
      </c>
      <c r="C152" t="s">
        <v>224</v>
      </c>
      <c r="D152" t="s">
        <v>752</v>
      </c>
      <c r="E152" t="s">
        <v>753</v>
      </c>
      <c r="M152" s="2" t="str">
        <f>IF(J152="","",VLOOKUP(J152,[1]ISO辞書!A:B,2,FALSE))</f>
        <v/>
      </c>
      <c r="N152" s="2" t="str">
        <f>IF(K152="","",VLOOKUP(K152,[1]ISO辞書!A:B,2,FALSE))</f>
        <v/>
      </c>
      <c r="O152" s="2" t="str">
        <f>IF(L152="","",VLOOKUP(L152,[1]ISO辞書!A:B,2,FALSE))</f>
        <v/>
      </c>
      <c r="P152" s="3" t="str">
        <f t="shared" si="2"/>
        <v/>
      </c>
      <c r="R152" t="s">
        <v>64</v>
      </c>
      <c r="S152" s="1">
        <v>46129</v>
      </c>
      <c r="T152" t="s">
        <v>134</v>
      </c>
      <c r="U152" t="s">
        <v>790</v>
      </c>
      <c r="V152">
        <v>2</v>
      </c>
    </row>
    <row r="153" spans="1:22">
      <c r="A153" s="2" t="str">
        <f>IF(C153="","",VLOOKUP(C153,[1]ISO辞書!A:C,2,FALSE))</f>
        <v>IRN</v>
      </c>
      <c r="B153" s="3" t="str">
        <f>IF(C153="","",VLOOKUP(C153,[1]ISO辞書!A:C,3,FALSE))</f>
        <v>Iran</v>
      </c>
      <c r="C153" t="s">
        <v>140</v>
      </c>
      <c r="D153" t="s">
        <v>754</v>
      </c>
      <c r="E153" t="s">
        <v>755</v>
      </c>
      <c r="J153" t="s">
        <v>132</v>
      </c>
      <c r="K153" t="s">
        <v>118</v>
      </c>
      <c r="L153" t="s">
        <v>120</v>
      </c>
      <c r="M153" s="2" t="str">
        <f>IF(J153="","",VLOOKUP(J153,[1]ISO辞書!A:B,2,FALSE))</f>
        <v>USA</v>
      </c>
      <c r="N153" s="2" t="str">
        <f>IF(K153="","",VLOOKUP(K153,[1]ISO辞書!A:B,2,FALSE))</f>
        <v>ISR</v>
      </c>
      <c r="O153" s="2" t="str">
        <f>IF(L153="","",VLOOKUP(L153,[1]ISO辞書!A:B,2,FALSE))</f>
        <v>LBN</v>
      </c>
      <c r="P153" s="3" t="str">
        <f t="shared" si="2"/>
        <v>USA;ISR;LBN</v>
      </c>
      <c r="Q153" t="s">
        <v>791</v>
      </c>
      <c r="R153" t="s">
        <v>43</v>
      </c>
      <c r="S153" s="1">
        <v>46129</v>
      </c>
      <c r="T153" t="s">
        <v>134</v>
      </c>
      <c r="U153" t="s">
        <v>792</v>
      </c>
      <c r="V153">
        <v>5</v>
      </c>
    </row>
    <row r="154" spans="1:22">
      <c r="A154" s="2" t="str">
        <f>IF(C154="","",VLOOKUP(C154,[1]ISO辞書!A:C,2,FALSE))</f>
        <v>ROU</v>
      </c>
      <c r="B154" s="3" t="str">
        <f>IF(C154="","",VLOOKUP(C154,[1]ISO辞書!A:C,3,FALSE))</f>
        <v>Romania</v>
      </c>
      <c r="C154" t="s">
        <v>756</v>
      </c>
      <c r="D154" t="s">
        <v>757</v>
      </c>
      <c r="E154" t="s">
        <v>758</v>
      </c>
      <c r="M154" s="2" t="str">
        <f>IF(J154="","",VLOOKUP(J154,[1]ISO辞書!A:B,2,FALSE))</f>
        <v/>
      </c>
      <c r="N154" s="2" t="str">
        <f>IF(K154="","",VLOOKUP(K154,[1]ISO辞書!A:B,2,FALSE))</f>
        <v/>
      </c>
      <c r="O154" s="2" t="str">
        <f>IF(L154="","",VLOOKUP(L154,[1]ISO辞書!A:B,2,FALSE))</f>
        <v/>
      </c>
      <c r="P154" s="3" t="str">
        <f t="shared" si="2"/>
        <v/>
      </c>
      <c r="Q154" t="s">
        <v>793</v>
      </c>
      <c r="R154" t="s">
        <v>64</v>
      </c>
      <c r="S154" s="1">
        <v>46129</v>
      </c>
      <c r="T154" t="s">
        <v>134</v>
      </c>
      <c r="U154" t="s">
        <v>794</v>
      </c>
      <c r="V154">
        <v>2</v>
      </c>
    </row>
    <row r="155" spans="1:22">
      <c r="A155" s="2" t="str">
        <f>IF(C155="","",VLOOKUP(C155,[1]ISO辞書!A:C,2,FALSE))</f>
        <v>ISR</v>
      </c>
      <c r="B155" s="3" t="str">
        <f>IF(C155="","",VLOOKUP(C155,[1]ISO辞書!A:C,3,FALSE))</f>
        <v>Israel</v>
      </c>
      <c r="C155" t="s">
        <v>118</v>
      </c>
      <c r="D155" t="s">
        <v>759</v>
      </c>
      <c r="E155" t="s">
        <v>760</v>
      </c>
      <c r="J155" t="s">
        <v>132</v>
      </c>
      <c r="K155" t="s">
        <v>120</v>
      </c>
      <c r="L155" t="s">
        <v>140</v>
      </c>
      <c r="M155" s="2" t="str">
        <f>IF(J155="","",VLOOKUP(J155,[1]ISO辞書!A:B,2,FALSE))</f>
        <v>USA</v>
      </c>
      <c r="N155" s="2" t="str">
        <f>IF(K155="","",VLOOKUP(K155,[1]ISO辞書!A:B,2,FALSE))</f>
        <v>LBN</v>
      </c>
      <c r="O155" s="2" t="str">
        <f>IF(L155="","",VLOOKUP(L155,[1]ISO辞書!A:B,2,FALSE))</f>
        <v>IRN</v>
      </c>
      <c r="P155" s="3" t="str">
        <f t="shared" si="2"/>
        <v>USA;LBN;IRN</v>
      </c>
      <c r="Q155" t="s">
        <v>795</v>
      </c>
      <c r="R155" t="s">
        <v>43</v>
      </c>
      <c r="S155" s="1">
        <v>46129</v>
      </c>
      <c r="T155" t="s">
        <v>134</v>
      </c>
      <c r="U155" t="s">
        <v>796</v>
      </c>
      <c r="V155">
        <v>5</v>
      </c>
    </row>
    <row r="156" spans="1:22">
      <c r="A156" s="2" t="str">
        <f>IF(C156="","",VLOOKUP(C156,[1]ISO辞書!A:C,2,FALSE))</f>
        <v>ESP</v>
      </c>
      <c r="B156" s="3" t="str">
        <f>IF(C156="","",VLOOKUP(C156,[1]ISO辞書!A:C,3,FALSE))</f>
        <v>Spain</v>
      </c>
      <c r="C156" t="s">
        <v>471</v>
      </c>
      <c r="D156" t="s">
        <v>763</v>
      </c>
      <c r="E156" t="s">
        <v>764</v>
      </c>
      <c r="J156" t="s">
        <v>351</v>
      </c>
      <c r="M156" s="2" t="str">
        <f>IF(J156="","",VLOOKUP(J156,[1]ISO辞書!A:B,2,FALSE))</f>
        <v>BRA</v>
      </c>
      <c r="N156" s="2" t="str">
        <f>IF(K156="","",VLOOKUP(K156,[1]ISO辞書!A:B,2,FALSE))</f>
        <v/>
      </c>
      <c r="O156" s="2" t="str">
        <f>IF(L156="","",VLOOKUP(L156,[1]ISO辞書!A:B,2,FALSE))</f>
        <v/>
      </c>
      <c r="P156" s="3" t="str">
        <f t="shared" si="2"/>
        <v>BRA</v>
      </c>
      <c r="Q156" t="s">
        <v>799</v>
      </c>
      <c r="R156" t="s">
        <v>43</v>
      </c>
      <c r="S156" s="1">
        <v>46129</v>
      </c>
      <c r="T156" t="s">
        <v>134</v>
      </c>
      <c r="U156" t="s">
        <v>800</v>
      </c>
      <c r="V156">
        <v>3</v>
      </c>
    </row>
    <row r="157" spans="1:22">
      <c r="A157" s="2" t="str">
        <f>IF(C157="","",VLOOKUP(C157,[1]ISO辞書!A:C,2,FALSE))</f>
        <v>CHL</v>
      </c>
      <c r="B157" s="3" t="str">
        <f>IF(C157="","",VLOOKUP(C157,[1]ISO辞書!A:C,3,FALSE))</f>
        <v>Chile</v>
      </c>
      <c r="C157" t="s">
        <v>769</v>
      </c>
      <c r="D157" t="s">
        <v>770</v>
      </c>
      <c r="E157" t="s">
        <v>771</v>
      </c>
      <c r="M157" s="2" t="str">
        <f>IF(J157="","",VLOOKUP(J157,[1]ISO辞書!A:B,2,FALSE))</f>
        <v/>
      </c>
      <c r="N157" s="2" t="str">
        <f>IF(K157="","",VLOOKUP(K157,[1]ISO辞書!A:B,2,FALSE))</f>
        <v/>
      </c>
      <c r="O157" s="2" t="str">
        <f>IF(L157="","",VLOOKUP(L157,[1]ISO辞書!A:B,2,FALSE))</f>
        <v/>
      </c>
      <c r="P157" s="3" t="str">
        <f t="shared" si="2"/>
        <v/>
      </c>
      <c r="Q157" t="s">
        <v>805</v>
      </c>
      <c r="R157" t="s">
        <v>64</v>
      </c>
      <c r="S157" s="1">
        <v>46129</v>
      </c>
      <c r="T157" t="s">
        <v>121</v>
      </c>
      <c r="U157" t="s">
        <v>806</v>
      </c>
      <c r="V157">
        <v>3</v>
      </c>
    </row>
    <row r="158" spans="1:22">
      <c r="A158" s="2" t="str">
        <f>IF(C158="","",VLOOKUP(C158,[1]ISO辞書!A:C,2,FALSE))</f>
        <v>BHR</v>
      </c>
      <c r="B158" s="3" t="str">
        <f>IF(C158="","",VLOOKUP(C158,[1]ISO辞書!A:C,3,FALSE))</f>
        <v>Bahrain</v>
      </c>
      <c r="C158" t="s">
        <v>779</v>
      </c>
      <c r="D158" t="s">
        <v>780</v>
      </c>
      <c r="E158" t="s">
        <v>781</v>
      </c>
      <c r="M158" s="2" t="str">
        <f>IF(J158="","",VLOOKUP(J158,[1]ISO辞書!A:B,2,FALSE))</f>
        <v/>
      </c>
      <c r="N158" s="2" t="str">
        <f>IF(K158="","",VLOOKUP(K158,[1]ISO辞書!A:B,2,FALSE))</f>
        <v/>
      </c>
      <c r="O158" s="2" t="str">
        <f>IF(L158="","",VLOOKUP(L158,[1]ISO辞書!A:B,2,FALSE))</f>
        <v/>
      </c>
      <c r="P158" s="3" t="str">
        <f t="shared" si="2"/>
        <v/>
      </c>
      <c r="Q158" t="s">
        <v>813</v>
      </c>
      <c r="R158" t="s">
        <v>246</v>
      </c>
      <c r="S158" s="1">
        <v>46129</v>
      </c>
      <c r="T158" t="s">
        <v>121</v>
      </c>
      <c r="U158" t="s">
        <v>814</v>
      </c>
      <c r="V158">
        <v>2</v>
      </c>
    </row>
    <row r="159" spans="1:22">
      <c r="A159" s="2" t="str">
        <f>IF(C159="","",VLOOKUP(C159,[1]ISO辞書!A:C,2,FALSE))</f>
        <v>USA</v>
      </c>
      <c r="B159" s="3" t="str">
        <f>IF(C159="","",VLOOKUP(C159,[1]ISO辞書!A:C,3,FALSE))</f>
        <v>America</v>
      </c>
      <c r="C159" t="s">
        <v>132</v>
      </c>
      <c r="D159" t="s">
        <v>743</v>
      </c>
      <c r="E159" t="s">
        <v>744</v>
      </c>
      <c r="M159" s="2" t="str">
        <f>IF(J159="","",VLOOKUP(J159,[1]ISO辞書!A:B,2,FALSE))</f>
        <v/>
      </c>
      <c r="N159" s="2" t="str">
        <f>IF(K159="","",VLOOKUP(K159,[1]ISO辞書!A:B,2,FALSE))</f>
        <v/>
      </c>
      <c r="O159" s="2" t="str">
        <f>IF(L159="","",VLOOKUP(L159,[1]ISO辞書!A:B,2,FALSE))</f>
        <v/>
      </c>
      <c r="P159" s="3" t="str">
        <f t="shared" si="2"/>
        <v/>
      </c>
      <c r="Q159" t="s">
        <v>782</v>
      </c>
      <c r="R159" t="s">
        <v>64</v>
      </c>
      <c r="S159" s="1">
        <v>46130</v>
      </c>
      <c r="T159" t="s">
        <v>134</v>
      </c>
      <c r="U159" s="5" t="s">
        <v>783</v>
      </c>
      <c r="V159">
        <v>1</v>
      </c>
    </row>
    <row r="160" spans="1:22">
      <c r="A160" s="2" t="str">
        <f>IF(C160="","",VLOOKUP(C160,[1]ISO辞書!A:C,2,FALSE))</f>
        <v>IRN</v>
      </c>
      <c r="B160" s="3" t="str">
        <f>IF(C160="","",VLOOKUP(C160,[1]ISO辞書!A:C,3,FALSE))</f>
        <v>Iran</v>
      </c>
      <c r="C160" t="s">
        <v>140</v>
      </c>
      <c r="D160" t="s">
        <v>745</v>
      </c>
      <c r="E160" t="s">
        <v>746</v>
      </c>
      <c r="M160" s="2" t="str">
        <f>IF(J160="","",VLOOKUP(J160,[1]ISO辞書!A:B,2,FALSE))</f>
        <v/>
      </c>
      <c r="N160" s="2" t="str">
        <f>IF(K160="","",VLOOKUP(K160,[1]ISO辞書!A:B,2,FALSE))</f>
        <v/>
      </c>
      <c r="O160" s="2" t="str">
        <f>IF(L160="","",VLOOKUP(L160,[1]ISO辞書!A:B,2,FALSE))</f>
        <v/>
      </c>
      <c r="P160" s="3" t="str">
        <f t="shared" si="2"/>
        <v/>
      </c>
      <c r="Q160" t="s">
        <v>784</v>
      </c>
      <c r="R160" t="s">
        <v>22</v>
      </c>
      <c r="S160" s="1">
        <v>46130</v>
      </c>
      <c r="T160" t="s">
        <v>134</v>
      </c>
      <c r="U160" t="s">
        <v>785</v>
      </c>
      <c r="V160">
        <v>5</v>
      </c>
    </row>
    <row r="161" spans="1:22">
      <c r="A161" s="2" t="str">
        <f>IF(C161="","",VLOOKUP(C161,[1]ISO辞書!A:C,2,FALSE))</f>
        <v>PRK</v>
      </c>
      <c r="B161" s="3" t="str">
        <f>IF(C161="","",VLOOKUP(C161,[1]ISO辞書!A:C,3,FALSE))</f>
        <v>North Korea</v>
      </c>
      <c r="C161" t="s">
        <v>336</v>
      </c>
      <c r="D161" t="s">
        <v>747</v>
      </c>
      <c r="E161" t="s">
        <v>748</v>
      </c>
      <c r="J161" t="s">
        <v>229</v>
      </c>
      <c r="K161" t="s">
        <v>178</v>
      </c>
      <c r="M161" s="2" t="str">
        <f>IF(J161="","",VLOOKUP(J161,[1]ISO辞書!A:B,2,FALSE))</f>
        <v>JPN</v>
      </c>
      <c r="N161" s="2" t="str">
        <f>IF(K161="","",VLOOKUP(K161,[1]ISO辞書!A:B,2,FALSE))</f>
        <v>KOR</v>
      </c>
      <c r="O161" s="2" t="str">
        <f>IF(L161="","",VLOOKUP(L161,[1]ISO辞書!A:B,2,FALSE))</f>
        <v/>
      </c>
      <c r="P161" s="3" t="str">
        <f t="shared" si="2"/>
        <v>JPN;KOR</v>
      </c>
      <c r="Q161" t="s">
        <v>786</v>
      </c>
      <c r="R161" t="s">
        <v>22</v>
      </c>
      <c r="S161" s="1">
        <v>46130</v>
      </c>
      <c r="T161" t="s">
        <v>134</v>
      </c>
      <c r="U161" t="s">
        <v>787</v>
      </c>
      <c r="V161">
        <v>3</v>
      </c>
    </row>
    <row r="162" spans="1:22">
      <c r="A162" s="2" t="str">
        <f>IF(C162="","",VLOOKUP(C162,[1]ISO辞書!A:C,2,FALSE))</f>
        <v>CHN</v>
      </c>
      <c r="B162" s="3" t="str">
        <f>IF(C162="","",VLOOKUP(C162,[1]ISO辞書!A:C,3,FALSE))</f>
        <v>China</v>
      </c>
      <c r="C162" t="s">
        <v>245</v>
      </c>
      <c r="D162" t="s">
        <v>749</v>
      </c>
      <c r="E162" t="s">
        <v>750</v>
      </c>
      <c r="J162" t="s">
        <v>751</v>
      </c>
      <c r="M162" s="2" t="str">
        <f>IF(J162="","",VLOOKUP(J162,[1]ISO辞書!A:B,2,FALSE))</f>
        <v>TKM</v>
      </c>
      <c r="N162" s="2" t="str">
        <f>IF(K162="","",VLOOKUP(K162,[1]ISO辞書!A:B,2,FALSE))</f>
        <v/>
      </c>
      <c r="O162" s="2" t="str">
        <f>IF(L162="","",VLOOKUP(L162,[1]ISO辞書!A:B,2,FALSE))</f>
        <v/>
      </c>
      <c r="P162" s="3" t="str">
        <f t="shared" si="2"/>
        <v>TKM</v>
      </c>
      <c r="Q162" t="s">
        <v>788</v>
      </c>
      <c r="R162" t="s">
        <v>43</v>
      </c>
      <c r="S162" s="1">
        <v>46130</v>
      </c>
      <c r="T162" t="s">
        <v>134</v>
      </c>
      <c r="U162" t="s">
        <v>789</v>
      </c>
      <c r="V162">
        <v>3</v>
      </c>
    </row>
    <row r="163" spans="1:22">
      <c r="A163" s="2" t="str">
        <f>IF(C163="","",VLOOKUP(C163,[1]ISO辞書!A:C,2,FALSE))</f>
        <v>MEX</v>
      </c>
      <c r="B163" s="3" t="str">
        <f>IF(C163="","",VLOOKUP(C163,[1]ISO辞書!A:C,3,FALSE))</f>
        <v>Mexico</v>
      </c>
      <c r="C163" t="s">
        <v>182</v>
      </c>
      <c r="D163" t="s">
        <v>765</v>
      </c>
      <c r="E163" t="s">
        <v>766</v>
      </c>
      <c r="J163" t="s">
        <v>471</v>
      </c>
      <c r="M163" s="2" t="str">
        <f>IF(J163="","",VLOOKUP(J163,[1]ISO辞書!A:B,2,FALSE))</f>
        <v>ESP</v>
      </c>
      <c r="N163" s="2" t="str">
        <f>IF(K163="","",VLOOKUP(K163,[1]ISO辞書!A:B,2,FALSE))</f>
        <v/>
      </c>
      <c r="O163" s="2" t="str">
        <f>IF(L163="","",VLOOKUP(L163,[1]ISO辞書!A:B,2,FALSE))</f>
        <v/>
      </c>
      <c r="P163" s="3" t="str">
        <f t="shared" si="2"/>
        <v>ESP</v>
      </c>
      <c r="Q163" t="s">
        <v>801</v>
      </c>
      <c r="R163" t="s">
        <v>43</v>
      </c>
      <c r="S163" s="1">
        <v>46130</v>
      </c>
      <c r="T163" t="s">
        <v>121</v>
      </c>
      <c r="U163" t="s">
        <v>802</v>
      </c>
      <c r="V163">
        <v>4</v>
      </c>
    </row>
    <row r="164" spans="1:22">
      <c r="A164" s="2" t="str">
        <f>IF(C164="","",VLOOKUP(C164,[1]ISO辞書!A:C,2,FALSE))</f>
        <v>BRA</v>
      </c>
      <c r="B164" s="3" t="str">
        <f>IF(C164="","",VLOOKUP(C164,[1]ISO辞書!A:C,3,FALSE))</f>
        <v>Brazil</v>
      </c>
      <c r="C164" t="s">
        <v>351</v>
      </c>
      <c r="D164" t="s">
        <v>767</v>
      </c>
      <c r="E164" t="s">
        <v>768</v>
      </c>
      <c r="J164" t="s">
        <v>129</v>
      </c>
      <c r="K164" t="s">
        <v>471</v>
      </c>
      <c r="L164" t="s">
        <v>182</v>
      </c>
      <c r="M164" s="2" t="str">
        <f>IF(J164="","",VLOOKUP(J164,[1]ISO辞書!A:B,2,FALSE))</f>
        <v>CUB</v>
      </c>
      <c r="N164" s="2" t="str">
        <f>IF(K164="","",VLOOKUP(K164,[1]ISO辞書!A:B,2,FALSE))</f>
        <v>ESP</v>
      </c>
      <c r="O164" s="2" t="str">
        <f>IF(L164="","",VLOOKUP(L164,[1]ISO辞書!A:B,2,FALSE))</f>
        <v>MEX</v>
      </c>
      <c r="P164" s="3" t="str">
        <f t="shared" si="2"/>
        <v>CUB;ESP;MEX</v>
      </c>
      <c r="Q164" t="s">
        <v>803</v>
      </c>
      <c r="R164" t="s">
        <v>43</v>
      </c>
      <c r="S164" s="1">
        <v>46130</v>
      </c>
      <c r="T164" t="s">
        <v>121</v>
      </c>
      <c r="U164" t="s">
        <v>804</v>
      </c>
      <c r="V164">
        <v>3</v>
      </c>
    </row>
    <row r="165" spans="1:22">
      <c r="A165" s="2" t="str">
        <f>IF(C165="","",VLOOKUP(C165,[1]ISO辞書!A:C,2,FALSE))</f>
        <v>JPN</v>
      </c>
      <c r="B165" s="3" t="str">
        <f>IF(C165="","",VLOOKUP(C165,[1]ISO辞書!A:C,3,FALSE))</f>
        <v>Japan</v>
      </c>
      <c r="C165" t="s">
        <v>229</v>
      </c>
      <c r="D165" t="s">
        <v>772</v>
      </c>
      <c r="E165" t="s">
        <v>773</v>
      </c>
      <c r="J165" t="s">
        <v>366</v>
      </c>
      <c r="M165" s="2" t="str">
        <f>IF(J165="","",VLOOKUP(J165,[1]ISO辞書!A:B,2,FALSE))</f>
        <v>AUS</v>
      </c>
      <c r="N165" s="2" t="str">
        <f>IF(K165="","",VLOOKUP(K165,[1]ISO辞書!A:B,2,FALSE))</f>
        <v/>
      </c>
      <c r="O165" s="2" t="str">
        <f>IF(L165="","",VLOOKUP(L165,[1]ISO辞書!A:B,2,FALSE))</f>
        <v/>
      </c>
      <c r="P165" s="3" t="str">
        <f t="shared" si="2"/>
        <v>AUS</v>
      </c>
      <c r="Q165" t="s">
        <v>807</v>
      </c>
      <c r="R165" t="s">
        <v>43</v>
      </c>
      <c r="S165" s="1">
        <v>46130</v>
      </c>
      <c r="T165" t="s">
        <v>121</v>
      </c>
      <c r="U165" t="s">
        <v>808</v>
      </c>
      <c r="V165">
        <v>5</v>
      </c>
    </row>
    <row r="166" spans="1:22">
      <c r="A166" s="2" t="str">
        <f>IF(C166="","",VLOOKUP(C166,[1]ISO辞書!A:C,2,FALSE))</f>
        <v>USA</v>
      </c>
      <c r="B166" s="3" t="str">
        <f>IF(C166="","",VLOOKUP(C166,[1]ISO辞書!A:C,3,FALSE))</f>
        <v>America</v>
      </c>
      <c r="C166" t="s">
        <v>132</v>
      </c>
      <c r="D166" t="s">
        <v>836</v>
      </c>
      <c r="E166" t="s">
        <v>837</v>
      </c>
      <c r="J166" t="s">
        <v>838</v>
      </c>
      <c r="M166" s="2" t="str">
        <f>IF(J166="","",VLOOKUP(J166,[1]ISO辞書!A:B,2,FALSE))</f>
        <v>NIC</v>
      </c>
      <c r="N166" s="2" t="str">
        <f>IF(K166="","",VLOOKUP(K166,[1]ISO辞書!A:B,2,FALSE))</f>
        <v/>
      </c>
      <c r="O166" s="2" t="str">
        <f>IF(L166="","",VLOOKUP(L166,[1]ISO辞書!A:B,2,FALSE))</f>
        <v/>
      </c>
      <c r="P166" s="3" t="str">
        <f t="shared" si="2"/>
        <v>NIC</v>
      </c>
      <c r="Q166" t="s">
        <v>862</v>
      </c>
      <c r="R166" t="s">
        <v>43</v>
      </c>
      <c r="S166" s="1">
        <v>46130</v>
      </c>
      <c r="T166" t="s">
        <v>121</v>
      </c>
      <c r="U166" t="s">
        <v>863</v>
      </c>
      <c r="V166">
        <v>2</v>
      </c>
    </row>
    <row r="167" spans="1:22">
      <c r="A167" s="2" t="str">
        <f>IF(C167="","",VLOOKUP(C167,[1]ISO辞書!A:C,2,FALSE))</f>
        <v>PRK</v>
      </c>
      <c r="B167" s="3" t="str">
        <f>IF(C167="","",VLOOKUP(C167,[1]ISO辞書!A:C,3,FALSE))</f>
        <v>North Korea</v>
      </c>
      <c r="C167" t="s">
        <v>336</v>
      </c>
      <c r="D167" t="s">
        <v>774</v>
      </c>
      <c r="E167" t="s">
        <v>775</v>
      </c>
      <c r="J167" t="s">
        <v>229</v>
      </c>
      <c r="K167" t="s">
        <v>178</v>
      </c>
      <c r="M167" s="2" t="str">
        <f>IF(J167="","",VLOOKUP(J167,[1]ISO辞書!A:B,2,FALSE))</f>
        <v>JPN</v>
      </c>
      <c r="N167" s="2" t="str">
        <f>IF(K167="","",VLOOKUP(K167,[1]ISO辞書!A:B,2,FALSE))</f>
        <v>KOR</v>
      </c>
      <c r="O167" s="2" t="str">
        <f>IF(L167="","",VLOOKUP(L167,[1]ISO辞書!A:B,2,FALSE))</f>
        <v/>
      </c>
      <c r="P167" s="3" t="str">
        <f t="shared" si="2"/>
        <v>JPN;KOR</v>
      </c>
      <c r="Q167" t="s">
        <v>809</v>
      </c>
      <c r="R167" t="s">
        <v>22</v>
      </c>
      <c r="S167" s="1">
        <v>46131</v>
      </c>
      <c r="T167" t="s">
        <v>121</v>
      </c>
      <c r="U167" t="s">
        <v>810</v>
      </c>
      <c r="V167">
        <v>3</v>
      </c>
    </row>
    <row r="168" spans="1:22">
      <c r="A168" s="2" t="str">
        <f>IF(C168="","",VLOOKUP(C168,[1]ISO辞書!A:C,2,FALSE))</f>
        <v>PAK</v>
      </c>
      <c r="B168" s="3" t="str">
        <f>IF(C168="","",VLOOKUP(C168,[1]ISO辞書!A:C,3,FALSE))</f>
        <v>Pakistan</v>
      </c>
      <c r="C168" t="s">
        <v>166</v>
      </c>
      <c r="D168" t="s">
        <v>817</v>
      </c>
      <c r="E168" t="s">
        <v>818</v>
      </c>
      <c r="J168" t="s">
        <v>140</v>
      </c>
      <c r="M168" s="2" t="str">
        <f>IF(J168="","",VLOOKUP(J168,[1]ISO辞書!A:B,2,FALSE))</f>
        <v>IRN</v>
      </c>
      <c r="N168" s="2" t="str">
        <f>IF(K168="","",VLOOKUP(K168,[1]ISO辞書!A:B,2,FALSE))</f>
        <v/>
      </c>
      <c r="O168" s="2" t="str">
        <f>IF(L168="","",VLOOKUP(L168,[1]ISO辞書!A:B,2,FALSE))</f>
        <v/>
      </c>
      <c r="P168" s="3" t="str">
        <f t="shared" si="2"/>
        <v>IRN</v>
      </c>
      <c r="Q168" s="7" t="s">
        <v>844</v>
      </c>
      <c r="R168" t="s">
        <v>43</v>
      </c>
      <c r="S168" s="1">
        <v>46131</v>
      </c>
      <c r="T168" t="s">
        <v>121</v>
      </c>
      <c r="U168" t="s">
        <v>845</v>
      </c>
      <c r="V168">
        <v>3</v>
      </c>
    </row>
    <row r="169" spans="1:22">
      <c r="A169" s="2" t="str">
        <f>IF(C169="","",VLOOKUP(C169,[1]ISO辞書!A:C,2,FALSE))</f>
        <v>ETH</v>
      </c>
      <c r="B169" s="3" t="str">
        <f>IF(C169="","",VLOOKUP(C169,[1]ISO辞書!A:C,3,FALSE))</f>
        <v>Ethiopia</v>
      </c>
      <c r="C169" t="s">
        <v>243</v>
      </c>
      <c r="D169" t="s">
        <v>815</v>
      </c>
      <c r="E169" t="s">
        <v>816</v>
      </c>
      <c r="M169" s="2" t="str">
        <f>IF(J169="","",VLOOKUP(J169,[1]ISO辞書!A:B,2,FALSE))</f>
        <v/>
      </c>
      <c r="N169" s="2" t="str">
        <f>IF(K169="","",VLOOKUP(K169,[1]ISO辞書!A:B,2,FALSE))</f>
        <v/>
      </c>
      <c r="O169" s="2" t="str">
        <f>IF(L169="","",VLOOKUP(L169,[1]ISO辞書!A:B,2,FALSE))</f>
        <v/>
      </c>
      <c r="P169" s="3" t="str">
        <f t="shared" si="2"/>
        <v/>
      </c>
      <c r="Q169" t="s">
        <v>842</v>
      </c>
      <c r="R169" t="s">
        <v>22</v>
      </c>
      <c r="S169" s="1">
        <v>46132</v>
      </c>
      <c r="T169" t="s">
        <v>121</v>
      </c>
      <c r="U169" s="5" t="s">
        <v>843</v>
      </c>
      <c r="V169">
        <v>5</v>
      </c>
    </row>
    <row r="170" spans="1:22">
      <c r="A170" s="2" t="str">
        <f>IF(C170="","",VLOOKUP(C170,[1]ISO辞書!A:C,2,FALSE))</f>
        <v>EU</v>
      </c>
      <c r="B170" s="3" t="str">
        <f>IF(C170="","",VLOOKUP(C170,[1]ISO辞書!A:C,3,FALSE))</f>
        <v>EU</v>
      </c>
      <c r="C170" t="s">
        <v>254</v>
      </c>
      <c r="D170" t="s">
        <v>819</v>
      </c>
      <c r="E170" t="s">
        <v>820</v>
      </c>
      <c r="J170" t="s">
        <v>146</v>
      </c>
      <c r="M170" s="2" t="str">
        <f>IF(J170="","",VLOOKUP(J170,[1]ISO辞書!A:B,2,FALSE))</f>
        <v>SYR</v>
      </c>
      <c r="N170" s="2" t="str">
        <f>IF(K170="","",VLOOKUP(K170,[1]ISO辞書!A:B,2,FALSE))</f>
        <v/>
      </c>
      <c r="O170" s="2" t="str">
        <f>IF(L170="","",VLOOKUP(L170,[1]ISO辞書!A:B,2,FALSE))</f>
        <v/>
      </c>
      <c r="P170" s="3" t="str">
        <f t="shared" si="2"/>
        <v>SYR</v>
      </c>
      <c r="Q170" t="s">
        <v>846</v>
      </c>
      <c r="R170" t="s">
        <v>43</v>
      </c>
      <c r="S170" s="1">
        <v>46132</v>
      </c>
      <c r="T170" t="s">
        <v>121</v>
      </c>
      <c r="U170" t="s">
        <v>847</v>
      </c>
      <c r="V170">
        <v>4</v>
      </c>
    </row>
    <row r="171" spans="1:22">
      <c r="A171" s="2" t="str">
        <f>IF(C171="","",VLOOKUP(C171,[1]ISO辞書!A:C,2,FALSE))</f>
        <v>IRQ</v>
      </c>
      <c r="B171" s="3" t="str">
        <f>IF(C171="","",VLOOKUP(C171,[1]ISO辞書!A:C,3,FALSE))</f>
        <v>Iraq</v>
      </c>
      <c r="C171" t="s">
        <v>496</v>
      </c>
      <c r="D171" t="s">
        <v>821</v>
      </c>
      <c r="E171" t="s">
        <v>822</v>
      </c>
      <c r="J171" t="s">
        <v>146</v>
      </c>
      <c r="M171" s="2" t="str">
        <f>IF(J171="","",VLOOKUP(J171,[1]ISO辞書!A:B,2,FALSE))</f>
        <v>SYR</v>
      </c>
      <c r="N171" s="2" t="str">
        <f>IF(K171="","",VLOOKUP(K171,[1]ISO辞書!A:B,2,FALSE))</f>
        <v/>
      </c>
      <c r="O171" s="2" t="str">
        <f>IF(L171="","",VLOOKUP(L171,[1]ISO辞書!A:B,2,FALSE))</f>
        <v/>
      </c>
      <c r="P171" s="3" t="str">
        <f t="shared" si="2"/>
        <v>SYR</v>
      </c>
      <c r="Q171" t="s">
        <v>848</v>
      </c>
      <c r="R171" t="s">
        <v>43</v>
      </c>
      <c r="S171" s="1">
        <v>46132</v>
      </c>
      <c r="T171" t="s">
        <v>121</v>
      </c>
      <c r="U171" t="s">
        <v>849</v>
      </c>
      <c r="V171">
        <v>2</v>
      </c>
    </row>
    <row r="172" spans="1:22">
      <c r="A172" s="2" t="str">
        <f>IF(C172="","",VLOOKUP(C172,[1]ISO辞書!A:C,2,FALSE))</f>
        <v>CHN</v>
      </c>
      <c r="B172" s="3" t="str">
        <f>IF(C172="","",VLOOKUP(C172,[1]ISO辞書!A:C,3,FALSE))</f>
        <v>China</v>
      </c>
      <c r="C172" t="s">
        <v>245</v>
      </c>
      <c r="D172" t="s">
        <v>823</v>
      </c>
      <c r="E172" t="s">
        <v>824</v>
      </c>
      <c r="J172" t="s">
        <v>207</v>
      </c>
      <c r="M172" s="2" t="str">
        <f>IF(J172="","",VLOOKUP(J172,[1]ISO辞書!A:B,2,FALSE))</f>
        <v>SAU</v>
      </c>
      <c r="N172" s="2" t="str">
        <f>IF(K172="","",VLOOKUP(K172,[1]ISO辞書!A:B,2,FALSE))</f>
        <v/>
      </c>
      <c r="O172" s="2" t="str">
        <f>IF(L172="","",VLOOKUP(L172,[1]ISO辞書!A:B,2,FALSE))</f>
        <v/>
      </c>
      <c r="P172" s="3" t="str">
        <f t="shared" si="2"/>
        <v>SAU</v>
      </c>
      <c r="Q172" t="s">
        <v>850</v>
      </c>
      <c r="R172" t="s">
        <v>43</v>
      </c>
      <c r="S172" s="1">
        <v>46132</v>
      </c>
      <c r="T172" t="s">
        <v>121</v>
      </c>
      <c r="U172" t="s">
        <v>851</v>
      </c>
      <c r="V172">
        <v>3</v>
      </c>
    </row>
    <row r="173" spans="1:22">
      <c r="A173" s="2" t="str">
        <f>IF(C173="","",VLOOKUP(C173,[1]ISO辞書!A:C,2,FALSE))</f>
        <v>BGR</v>
      </c>
      <c r="B173" s="3" t="str">
        <f>IF(C173="","",VLOOKUP(C173,[1]ISO辞書!A:C,3,FALSE))</f>
        <v>Bulgaria</v>
      </c>
      <c r="C173" t="s">
        <v>825</v>
      </c>
      <c r="D173" t="s">
        <v>826</v>
      </c>
      <c r="E173" t="s">
        <v>827</v>
      </c>
      <c r="J173" t="s">
        <v>254</v>
      </c>
      <c r="M173" s="2" t="str">
        <f>IF(J173="","",VLOOKUP(J173,[1]ISO辞書!A:B,2,FALSE))</f>
        <v>EU</v>
      </c>
      <c r="N173" s="2" t="str">
        <f>IF(K173="","",VLOOKUP(K173,[1]ISO辞書!A:B,2,FALSE))</f>
        <v/>
      </c>
      <c r="O173" s="2" t="str">
        <f>IF(L173="","",VLOOKUP(L173,[1]ISO辞書!A:B,2,FALSE))</f>
        <v/>
      </c>
      <c r="P173" s="3" t="str">
        <f t="shared" si="2"/>
        <v>EU</v>
      </c>
      <c r="Q173" t="s">
        <v>852</v>
      </c>
      <c r="R173" t="s">
        <v>64</v>
      </c>
      <c r="S173" s="1">
        <v>46132</v>
      </c>
      <c r="T173" t="s">
        <v>121</v>
      </c>
      <c r="U173" t="s">
        <v>853</v>
      </c>
      <c r="V173">
        <v>5</v>
      </c>
    </row>
    <row r="174" spans="1:22">
      <c r="A174" s="2" t="str">
        <f>IF(C174="","",VLOOKUP(C174,[1]ISO辞書!A:C,2,FALSE))</f>
        <v>ROU</v>
      </c>
      <c r="B174" s="3" t="str">
        <f>IF(C174="","",VLOOKUP(C174,[1]ISO辞書!A:C,3,FALSE))</f>
        <v>Romania</v>
      </c>
      <c r="C174" t="s">
        <v>756</v>
      </c>
      <c r="D174" t="s">
        <v>828</v>
      </c>
      <c r="E174" t="s">
        <v>829</v>
      </c>
      <c r="M174" s="2" t="str">
        <f>IF(J174="","",VLOOKUP(J174,[1]ISO辞書!A:B,2,FALSE))</f>
        <v/>
      </c>
      <c r="N174" s="2" t="str">
        <f>IF(K174="","",VLOOKUP(K174,[1]ISO辞書!A:B,2,FALSE))</f>
        <v/>
      </c>
      <c r="O174" s="2" t="str">
        <f>IF(L174="","",VLOOKUP(L174,[1]ISO辞書!A:B,2,FALSE))</f>
        <v/>
      </c>
      <c r="P174" s="3" t="str">
        <f t="shared" si="2"/>
        <v/>
      </c>
      <c r="Q174" t="s">
        <v>854</v>
      </c>
      <c r="R174" t="s">
        <v>64</v>
      </c>
      <c r="S174" s="1">
        <v>46132</v>
      </c>
      <c r="T174" t="s">
        <v>121</v>
      </c>
      <c r="U174" t="s">
        <v>855</v>
      </c>
      <c r="V174">
        <v>2</v>
      </c>
    </row>
    <row r="175" spans="1:22">
      <c r="A175" s="2" t="str">
        <f>IF(C175="","",VLOOKUP(C175,[1]ISO辞書!A:C,2,FALSE))</f>
        <v>CHL</v>
      </c>
      <c r="B175" s="3" t="str">
        <f>IF(C175="","",VLOOKUP(C175,[1]ISO辞書!A:C,3,FALSE))</f>
        <v>Chile</v>
      </c>
      <c r="C175" t="s">
        <v>769</v>
      </c>
      <c r="D175" t="s">
        <v>830</v>
      </c>
      <c r="E175" t="s">
        <v>831</v>
      </c>
      <c r="J175" t="s">
        <v>132</v>
      </c>
      <c r="M175" s="2" t="str">
        <f>IF(J175="","",VLOOKUP(J175,[1]ISO辞書!A:B,2,FALSE))</f>
        <v>USA</v>
      </c>
      <c r="N175" s="2" t="str">
        <f>IF(K175="","",VLOOKUP(K175,[1]ISO辞書!A:B,2,FALSE))</f>
        <v/>
      </c>
      <c r="O175" s="2" t="str">
        <f>IF(L175="","",VLOOKUP(L175,[1]ISO辞書!A:B,2,FALSE))</f>
        <v/>
      </c>
      <c r="P175" s="3" t="str">
        <f t="shared" si="2"/>
        <v>USA</v>
      </c>
      <c r="Q175" t="s">
        <v>856</v>
      </c>
      <c r="R175" t="s">
        <v>43</v>
      </c>
      <c r="S175" s="1">
        <v>46132</v>
      </c>
      <c r="T175" t="s">
        <v>121</v>
      </c>
      <c r="U175" t="s">
        <v>857</v>
      </c>
      <c r="V175">
        <v>3</v>
      </c>
    </row>
    <row r="176" spans="1:22">
      <c r="A176" s="2" t="str">
        <f>IF(C176="","",VLOOKUP(C176,[1]ISO辞書!A:C,2,FALSE))</f>
        <v>USA</v>
      </c>
      <c r="B176" s="3" t="str">
        <f>IF(C176="","",VLOOKUP(C176,[1]ISO辞書!A:C,3,FALSE))</f>
        <v>America</v>
      </c>
      <c r="C176" t="s">
        <v>132</v>
      </c>
      <c r="D176" t="s">
        <v>832</v>
      </c>
      <c r="E176" t="s">
        <v>833</v>
      </c>
      <c r="J176" t="s">
        <v>351</v>
      </c>
      <c r="M176" s="2" t="str">
        <f>IF(J176="","",VLOOKUP(J176,[1]ISO辞書!A:B,2,FALSE))</f>
        <v>BRA</v>
      </c>
      <c r="N176" s="2" t="str">
        <f>IF(K176="","",VLOOKUP(K176,[1]ISO辞書!A:B,2,FALSE))</f>
        <v/>
      </c>
      <c r="O176" s="2" t="str">
        <f>IF(L176="","",VLOOKUP(L176,[1]ISO辞書!A:B,2,FALSE))</f>
        <v/>
      </c>
      <c r="P176" s="3" t="str">
        <f t="shared" si="2"/>
        <v>BRA</v>
      </c>
      <c r="Q176" t="s">
        <v>858</v>
      </c>
      <c r="R176" t="s">
        <v>43</v>
      </c>
      <c r="S176" s="1">
        <v>46132</v>
      </c>
      <c r="T176" t="s">
        <v>121</v>
      </c>
      <c r="U176" t="s">
        <v>859</v>
      </c>
      <c r="V176">
        <v>3</v>
      </c>
    </row>
    <row r="177" spans="1:22">
      <c r="A177" s="2" t="str">
        <f>IF(C177="","",VLOOKUP(C177,[1]ISO辞書!A:C,2,FALSE))</f>
        <v>JPN</v>
      </c>
      <c r="B177" s="3" t="str">
        <f>IF(C177="","",VLOOKUP(C177,[1]ISO辞書!A:C,3,FALSE))</f>
        <v>Japan</v>
      </c>
      <c r="C177" t="s">
        <v>229</v>
      </c>
      <c r="D177" t="s">
        <v>834</v>
      </c>
      <c r="E177" t="s">
        <v>835</v>
      </c>
      <c r="J177" t="s">
        <v>182</v>
      </c>
      <c r="M177" s="2" t="str">
        <f>IF(J177="","",VLOOKUP(J177,[1]ISO辞書!A:B,2,FALSE))</f>
        <v>MEX</v>
      </c>
      <c r="N177" s="2" t="str">
        <f>IF(K177="","",VLOOKUP(K177,[1]ISO辞書!A:B,2,FALSE))</f>
        <v/>
      </c>
      <c r="O177" s="2" t="str">
        <f>IF(L177="","",VLOOKUP(L177,[1]ISO辞書!A:B,2,FALSE))</f>
        <v/>
      </c>
      <c r="P177" s="3" t="str">
        <f t="shared" si="2"/>
        <v>MEX</v>
      </c>
      <c r="Q177" t="s">
        <v>860</v>
      </c>
      <c r="R177" t="s">
        <v>43</v>
      </c>
      <c r="S177" s="1">
        <v>46133</v>
      </c>
      <c r="T177" t="s">
        <v>121</v>
      </c>
      <c r="U177" t="s">
        <v>861</v>
      </c>
      <c r="V177">
        <v>4</v>
      </c>
    </row>
    <row r="178" spans="1:22">
      <c r="A178" s="2" t="str">
        <f>IF(C178="","",VLOOKUP(C178,[1]ISO辞書!A:C,2,FALSE))</f>
        <v>TWN</v>
      </c>
      <c r="B178" s="3" t="str">
        <f>IF(C178="","",VLOOKUP(C178,[1]ISO辞書!A:C,3,FALSE))</f>
        <v>Taiwan</v>
      </c>
      <c r="C178" t="s">
        <v>839</v>
      </c>
      <c r="D178" t="s">
        <v>840</v>
      </c>
      <c r="E178" t="s">
        <v>841</v>
      </c>
      <c r="J178" t="s">
        <v>245</v>
      </c>
      <c r="M178" s="2" t="str">
        <f>IF(J178="","",VLOOKUP(J178,[1]ISO辞書!A:B,2,FALSE))</f>
        <v>CHN</v>
      </c>
      <c r="N178" s="2" t="str">
        <f>IF(K178="","",VLOOKUP(K178,[1]ISO辞書!A:B,2,FALSE))</f>
        <v/>
      </c>
      <c r="O178" s="2" t="str">
        <f>IF(L178="","",VLOOKUP(L178,[1]ISO辞書!A:B,2,FALSE))</f>
        <v/>
      </c>
      <c r="P178" s="3" t="str">
        <f t="shared" si="2"/>
        <v>CHN</v>
      </c>
      <c r="Q178" t="s">
        <v>864</v>
      </c>
      <c r="R178" t="s">
        <v>43</v>
      </c>
      <c r="S178" s="1">
        <v>46133</v>
      </c>
      <c r="T178" t="s">
        <v>121</v>
      </c>
      <c r="U178" t="s">
        <v>865</v>
      </c>
      <c r="V178">
        <v>3</v>
      </c>
    </row>
    <row r="179" spans="1:22">
      <c r="A179" s="2" t="str">
        <f>IF(C179="","",VLOOKUP(C179,[1]ISO辞書!A:C,2,FALSE))</f>
        <v>USA</v>
      </c>
      <c r="B179" s="3" t="str">
        <f>IF(C179="","",VLOOKUP(C179,[1]ISO辞書!A:C,3,FALSE))</f>
        <v>America</v>
      </c>
      <c r="C179" s="8" t="s">
        <v>869</v>
      </c>
      <c r="D179" s="8" t="s">
        <v>870</v>
      </c>
      <c r="E179" s="8" t="s">
        <v>871</v>
      </c>
      <c r="F179" s="8" t="s">
        <v>872</v>
      </c>
      <c r="G179" s="9"/>
      <c r="H179" s="8" t="s">
        <v>873</v>
      </c>
      <c r="I179" s="9"/>
      <c r="J179" s="8"/>
      <c r="K179" s="8"/>
      <c r="L179" s="8"/>
      <c r="M179" s="2" t="str">
        <f>IF(J179="","",VLOOKUP(J179,[1]ISO辞書!A:B,2,FALSE))</f>
        <v/>
      </c>
      <c r="N179" s="2" t="str">
        <f>IF(K179="","",VLOOKUP(K179,[1]ISO辞書!A:B,2,FALSE))</f>
        <v/>
      </c>
      <c r="O179" s="2" t="str">
        <f>IF(L179="","",VLOOKUP(L179,[1]ISO辞書!A:B,2,FALSE))</f>
        <v/>
      </c>
      <c r="P179" s="3" t="str">
        <f t="shared" si="2"/>
        <v/>
      </c>
      <c r="Q179" s="8" t="s">
        <v>993</v>
      </c>
      <c r="R179" s="8" t="s">
        <v>64</v>
      </c>
      <c r="S179" s="10">
        <v>46138</v>
      </c>
      <c r="T179" s="8" t="s">
        <v>994</v>
      </c>
      <c r="U179" s="11" t="s">
        <v>995</v>
      </c>
      <c r="V179" s="8">
        <v>4</v>
      </c>
    </row>
    <row r="180" spans="1:22">
      <c r="A180" s="2" t="str">
        <f>IF(C180="","",VLOOKUP(C180,[1]ISO辞書!A:C,2,FALSE))</f>
        <v>USA</v>
      </c>
      <c r="B180" s="3" t="str">
        <f>IF(C180="","",VLOOKUP(C180,[1]ISO辞書!A:C,3,FALSE))</f>
        <v>America</v>
      </c>
      <c r="C180" s="8" t="s">
        <v>869</v>
      </c>
      <c r="D180" s="8" t="s">
        <v>874</v>
      </c>
      <c r="E180" s="8" t="s">
        <v>875</v>
      </c>
      <c r="F180" s="8" t="s">
        <v>876</v>
      </c>
      <c r="G180" s="9"/>
      <c r="H180" s="8" t="s">
        <v>877</v>
      </c>
      <c r="I180" s="9"/>
      <c r="J180" s="8" t="s">
        <v>878</v>
      </c>
      <c r="K180" s="8" t="s">
        <v>879</v>
      </c>
      <c r="L180" s="8"/>
      <c r="M180" s="2" t="str">
        <f>IF(J180="","",VLOOKUP(J180,[1]ISO辞書!A:B,2,FALSE))</f>
        <v>IRN</v>
      </c>
      <c r="N180" s="2" t="str">
        <f>IF(K180="","",VLOOKUP(K180,[1]ISO辞書!A:B,2,FALSE))</f>
        <v>PAK</v>
      </c>
      <c r="O180" s="2" t="str">
        <f>IF(L180="","",VLOOKUP(L180,[1]ISO辞書!A:B,2,FALSE))</f>
        <v/>
      </c>
      <c r="P180" s="3" t="str">
        <f t="shared" si="2"/>
        <v>IRN;PAK</v>
      </c>
      <c r="Q180" s="12" t="s">
        <v>996</v>
      </c>
      <c r="R180" s="8" t="s">
        <v>43</v>
      </c>
      <c r="S180" s="10">
        <v>46137</v>
      </c>
      <c r="T180" s="8" t="s">
        <v>994</v>
      </c>
      <c r="U180" s="8" t="s">
        <v>997</v>
      </c>
      <c r="V180" s="8">
        <v>5</v>
      </c>
    </row>
    <row r="181" spans="1:22">
      <c r="A181" s="2" t="str">
        <f>IF(C181="","",VLOOKUP(C181,[1]ISO辞書!A:C,2,FALSE))</f>
        <v>USA</v>
      </c>
      <c r="B181" s="3" t="str">
        <f>IF(C181="","",VLOOKUP(C181,[1]ISO辞書!A:C,3,FALSE))</f>
        <v>America</v>
      </c>
      <c r="C181" s="8" t="s">
        <v>869</v>
      </c>
      <c r="D181" s="8" t="s">
        <v>880</v>
      </c>
      <c r="E181" s="8" t="s">
        <v>881</v>
      </c>
      <c r="F181" s="8" t="s">
        <v>882</v>
      </c>
      <c r="G181" s="9"/>
      <c r="H181" s="8" t="s">
        <v>883</v>
      </c>
      <c r="I181" s="9"/>
      <c r="J181" s="8"/>
      <c r="K181" s="8"/>
      <c r="L181" s="8"/>
      <c r="M181" s="2" t="str">
        <f>IF(J181="","",VLOOKUP(J181,[1]ISO辞書!A:B,2,FALSE))</f>
        <v/>
      </c>
      <c r="N181" s="2" t="str">
        <f>IF(K181="","",VLOOKUP(K181,[1]ISO辞書!A:B,2,FALSE))</f>
        <v/>
      </c>
      <c r="O181" s="2" t="str">
        <f>IF(L181="","",VLOOKUP(L181,[1]ISO辞書!A:B,2,FALSE))</f>
        <v/>
      </c>
      <c r="P181" s="3" t="str">
        <f t="shared" si="2"/>
        <v/>
      </c>
      <c r="Q181" s="8" t="s">
        <v>998</v>
      </c>
      <c r="R181" s="8" t="s">
        <v>64</v>
      </c>
      <c r="S181" s="10">
        <v>46137</v>
      </c>
      <c r="T181" s="8" t="s">
        <v>994</v>
      </c>
      <c r="U181" s="8" t="s">
        <v>999</v>
      </c>
      <c r="V181" s="8">
        <v>5</v>
      </c>
    </row>
    <row r="182" spans="1:22">
      <c r="A182" s="2" t="str">
        <f>IF(C182="","",VLOOKUP(C182,[1]ISO辞書!A:C,2,FALSE))</f>
        <v>USA</v>
      </c>
      <c r="B182" s="3" t="str">
        <f>IF(C182="","",VLOOKUP(C182,[1]ISO辞書!A:C,3,FALSE))</f>
        <v>America</v>
      </c>
      <c r="C182" s="8" t="s">
        <v>869</v>
      </c>
      <c r="D182" s="8" t="s">
        <v>884</v>
      </c>
      <c r="E182" s="8" t="s">
        <v>885</v>
      </c>
      <c r="F182" s="8" t="s">
        <v>886</v>
      </c>
      <c r="G182" s="9"/>
      <c r="H182" s="8" t="s">
        <v>887</v>
      </c>
      <c r="I182" s="9"/>
      <c r="J182" s="8" t="s">
        <v>878</v>
      </c>
      <c r="K182" s="8"/>
      <c r="L182" s="8"/>
      <c r="M182" s="2" t="str">
        <f>IF(J182="","",VLOOKUP(J182,[1]ISO辞書!A:B,2,FALSE))</f>
        <v>IRN</v>
      </c>
      <c r="N182" s="2" t="str">
        <f>IF(K182="","",VLOOKUP(K182,[1]ISO辞書!A:B,2,FALSE))</f>
        <v/>
      </c>
      <c r="O182" s="2" t="str">
        <f>IF(L182="","",VLOOKUP(L182,[1]ISO辞書!A:B,2,FALSE))</f>
        <v/>
      </c>
      <c r="P182" s="3" t="str">
        <f t="shared" si="2"/>
        <v>IRN</v>
      </c>
      <c r="Q182" s="8" t="s">
        <v>1000</v>
      </c>
      <c r="R182" s="8" t="s">
        <v>55</v>
      </c>
      <c r="S182" s="10">
        <v>46138</v>
      </c>
      <c r="T182" s="8" t="s">
        <v>994</v>
      </c>
      <c r="U182" s="8" t="s">
        <v>1001</v>
      </c>
      <c r="V182" s="8">
        <v>5</v>
      </c>
    </row>
    <row r="183" spans="1:22">
      <c r="A183" s="2" t="str">
        <f>IF(C183="","",VLOOKUP(C183,[1]ISO辞書!A:C,2,FALSE))</f>
        <v>CHN</v>
      </c>
      <c r="B183" s="3" t="str">
        <f>IF(C183="","",VLOOKUP(C183,[1]ISO辞書!A:C,3,FALSE))</f>
        <v>China</v>
      </c>
      <c r="C183" s="8" t="s">
        <v>888</v>
      </c>
      <c r="D183" s="8" t="s">
        <v>889</v>
      </c>
      <c r="E183" s="8" t="s">
        <v>890</v>
      </c>
      <c r="F183" s="8" t="s">
        <v>891</v>
      </c>
      <c r="G183" s="9"/>
      <c r="H183" s="8" t="s">
        <v>892</v>
      </c>
      <c r="I183" s="9"/>
      <c r="J183" s="8" t="s">
        <v>893</v>
      </c>
      <c r="K183" s="8"/>
      <c r="L183" s="8"/>
      <c r="M183" s="2" t="str">
        <f>IF(J183="","",VLOOKUP(J183,[1]ISO辞書!A:B,2,FALSE))</f>
        <v>MMR</v>
      </c>
      <c r="N183" s="2" t="str">
        <f>IF(K183="","",VLOOKUP(K183,[1]ISO辞書!A:B,2,FALSE))</f>
        <v/>
      </c>
      <c r="O183" s="2" t="str">
        <f>IF(L183="","",VLOOKUP(L183,[1]ISO辞書!A:B,2,FALSE))</f>
        <v/>
      </c>
      <c r="P183" s="3" t="str">
        <f t="shared" si="2"/>
        <v>MMR</v>
      </c>
      <c r="Q183" s="8" t="s">
        <v>1002</v>
      </c>
      <c r="R183" s="8" t="s">
        <v>43</v>
      </c>
      <c r="S183" s="10">
        <v>46137</v>
      </c>
      <c r="T183" s="8" t="s">
        <v>994</v>
      </c>
      <c r="U183" s="8" t="s">
        <v>1003</v>
      </c>
      <c r="V183" s="8">
        <v>3</v>
      </c>
    </row>
    <row r="184" spans="1:22">
      <c r="A184" s="2" t="str">
        <f>IF(C184="","",VLOOKUP(C184,[1]ISO辞書!A:C,2,FALSE))</f>
        <v>FRA</v>
      </c>
      <c r="B184" s="3" t="str">
        <f>IF(C184="","",VLOOKUP(C184,[1]ISO辞書!A:C,3,FALSE))</f>
        <v>France</v>
      </c>
      <c r="C184" s="8" t="s">
        <v>894</v>
      </c>
      <c r="D184" s="8" t="s">
        <v>895</v>
      </c>
      <c r="E184" s="8" t="s">
        <v>896</v>
      </c>
      <c r="F184" s="8" t="s">
        <v>897</v>
      </c>
      <c r="G184" s="9"/>
      <c r="H184" s="8" t="s">
        <v>898</v>
      </c>
      <c r="I184" s="9"/>
      <c r="J184" s="8" t="s">
        <v>899</v>
      </c>
      <c r="K184" s="8"/>
      <c r="L184" s="8"/>
      <c r="M184" s="2" t="str">
        <f>IF(J184="","",VLOOKUP(J184,[1]ISO辞書!A:B,2,FALSE))</f>
        <v>GRC</v>
      </c>
      <c r="N184" s="2" t="str">
        <f>IF(K184="","",VLOOKUP(K184,[1]ISO辞書!A:B,2,FALSE))</f>
        <v/>
      </c>
      <c r="O184" s="2" t="str">
        <f>IF(L184="","",VLOOKUP(L184,[1]ISO辞書!A:B,2,FALSE))</f>
        <v/>
      </c>
      <c r="P184" s="3" t="str">
        <f t="shared" si="2"/>
        <v>GRC</v>
      </c>
      <c r="Q184" s="8" t="s">
        <v>1004</v>
      </c>
      <c r="R184" s="8" t="s">
        <v>43</v>
      </c>
      <c r="S184" s="10">
        <v>46137</v>
      </c>
      <c r="T184" s="8" t="s">
        <v>994</v>
      </c>
      <c r="U184" s="8" t="s">
        <v>1005</v>
      </c>
      <c r="V184" s="8">
        <v>4</v>
      </c>
    </row>
    <row r="185" spans="1:22">
      <c r="A185" s="2" t="str">
        <f>IF(C185="","",VLOOKUP(C185,[1]ISO辞書!A:C,2,FALSE))</f>
        <v>MLI</v>
      </c>
      <c r="B185" s="3" t="str">
        <f>IF(C185="","",VLOOKUP(C185,[1]ISO辞書!A:C,3,FALSE))</f>
        <v>Mali</v>
      </c>
      <c r="C185" s="8" t="s">
        <v>900</v>
      </c>
      <c r="D185" s="8" t="s">
        <v>901</v>
      </c>
      <c r="E185" s="8" t="s">
        <v>902</v>
      </c>
      <c r="F185" s="8" t="s">
        <v>903</v>
      </c>
      <c r="G185" s="9"/>
      <c r="H185" s="8" t="s">
        <v>904</v>
      </c>
      <c r="I185" s="9"/>
      <c r="J185" s="8"/>
      <c r="K185" s="8"/>
      <c r="L185" s="8"/>
      <c r="M185" s="2" t="str">
        <f>IF(J185="","",VLOOKUP(J185,[1]ISO辞書!A:B,2,FALSE))</f>
        <v/>
      </c>
      <c r="N185" s="2" t="str">
        <f>IF(K185="","",VLOOKUP(K185,[1]ISO辞書!A:B,2,FALSE))</f>
        <v/>
      </c>
      <c r="O185" s="2" t="str">
        <f>IF(L185="","",VLOOKUP(L185,[1]ISO辞書!A:B,2,FALSE))</f>
        <v/>
      </c>
      <c r="P185" s="3" t="str">
        <f t="shared" si="2"/>
        <v/>
      </c>
      <c r="Q185" s="8" t="s">
        <v>1006</v>
      </c>
      <c r="R185" s="8" t="s">
        <v>55</v>
      </c>
      <c r="S185" s="10">
        <v>46137</v>
      </c>
      <c r="T185" s="8" t="s">
        <v>994</v>
      </c>
      <c r="U185" s="8" t="s">
        <v>1007</v>
      </c>
      <c r="V185" s="8">
        <v>3</v>
      </c>
    </row>
    <row r="186" spans="1:22">
      <c r="A186" s="2" t="str">
        <f>IF(C186="","",VLOOKUP(C186,[1]ISO辞書!A:C,2,FALSE))</f>
        <v>USA</v>
      </c>
      <c r="B186" s="3" t="str">
        <f>IF(C186="","",VLOOKUP(C186,[1]ISO辞書!A:C,3,FALSE))</f>
        <v>America</v>
      </c>
      <c r="C186" s="8" t="s">
        <v>869</v>
      </c>
      <c r="D186" s="8" t="s">
        <v>905</v>
      </c>
      <c r="E186" s="8" t="s">
        <v>906</v>
      </c>
      <c r="F186" s="8" t="s">
        <v>907</v>
      </c>
      <c r="G186" s="9"/>
      <c r="H186" s="8" t="s">
        <v>908</v>
      </c>
      <c r="I186" s="9"/>
      <c r="J186" s="8" t="s">
        <v>888</v>
      </c>
      <c r="K186" s="8"/>
      <c r="L186" s="8"/>
      <c r="M186" s="2" t="str">
        <f>IF(J186="","",VLOOKUP(J186,[1]ISO辞書!A:B,2,FALSE))</f>
        <v>CHN</v>
      </c>
      <c r="N186" s="2" t="str">
        <f>IF(K186="","",VLOOKUP(K186,[1]ISO辞書!A:B,2,FALSE))</f>
        <v/>
      </c>
      <c r="O186" s="2" t="str">
        <f>IF(L186="","",VLOOKUP(L186,[1]ISO辞書!A:B,2,FALSE))</f>
        <v/>
      </c>
      <c r="P186" s="3" t="str">
        <f t="shared" si="2"/>
        <v>CHN</v>
      </c>
      <c r="Q186" s="8" t="s">
        <v>1008</v>
      </c>
      <c r="R186" s="8" t="s">
        <v>43</v>
      </c>
      <c r="S186" s="10">
        <v>46136</v>
      </c>
      <c r="T186" s="8" t="s">
        <v>994</v>
      </c>
      <c r="U186" s="5" t="s">
        <v>1009</v>
      </c>
      <c r="V186" s="8">
        <v>3</v>
      </c>
    </row>
    <row r="187" spans="1:22">
      <c r="A187" s="2" t="str">
        <f>IF(C187="","",VLOOKUP(C187,[1]ISO辞書!A:C,2,FALSE))</f>
        <v>GBR</v>
      </c>
      <c r="B187" s="3" t="str">
        <f>IF(C187="","",VLOOKUP(C187,[1]ISO辞書!A:C,3,FALSE))</f>
        <v>Britain</v>
      </c>
      <c r="C187" s="8" t="s">
        <v>909</v>
      </c>
      <c r="D187" s="8" t="s">
        <v>910</v>
      </c>
      <c r="E187" s="8" t="s">
        <v>911</v>
      </c>
      <c r="F187" s="8" t="s">
        <v>912</v>
      </c>
      <c r="G187" s="9"/>
      <c r="H187" s="8" t="s">
        <v>913</v>
      </c>
      <c r="I187" s="9"/>
      <c r="J187" s="8"/>
      <c r="K187" s="8"/>
      <c r="L187" s="8"/>
      <c r="M187" s="2" t="str">
        <f>IF(J187="","",VLOOKUP(J187,[1]ISO辞書!A:B,2,FALSE))</f>
        <v/>
      </c>
      <c r="N187" s="2" t="str">
        <f>IF(K187="","",VLOOKUP(K187,[1]ISO辞書!A:B,2,FALSE))</f>
        <v/>
      </c>
      <c r="O187" s="2" t="str">
        <f>IF(L187="","",VLOOKUP(L187,[1]ISO辞書!A:B,2,FALSE))</f>
        <v/>
      </c>
      <c r="P187" s="3" t="str">
        <f t="shared" si="2"/>
        <v/>
      </c>
      <c r="Q187" s="8" t="s">
        <v>1010</v>
      </c>
      <c r="R187" s="8" t="s">
        <v>64</v>
      </c>
      <c r="S187" s="10">
        <v>46136</v>
      </c>
      <c r="T187" s="8" t="s">
        <v>994</v>
      </c>
      <c r="U187" s="8" t="s">
        <v>1011</v>
      </c>
      <c r="V187" s="8">
        <v>2</v>
      </c>
    </row>
    <row r="188" spans="1:22">
      <c r="A188" s="2" t="str">
        <f>IF(C188="","",VLOOKUP(C188,[1]ISO辞書!A:C,2,FALSE))</f>
        <v>UKR</v>
      </c>
      <c r="B188" s="3" t="str">
        <f>IF(C188="","",VLOOKUP(C188,[1]ISO辞書!A:C,3,FALSE))</f>
        <v>Ukraine</v>
      </c>
      <c r="C188" s="8" t="s">
        <v>914</v>
      </c>
      <c r="D188" s="8" t="s">
        <v>915</v>
      </c>
      <c r="E188" s="8" t="s">
        <v>916</v>
      </c>
      <c r="F188" s="8" t="s">
        <v>917</v>
      </c>
      <c r="G188" s="9"/>
      <c r="H188" s="8" t="s">
        <v>918</v>
      </c>
      <c r="I188" s="9"/>
      <c r="J188" s="8" t="s">
        <v>919</v>
      </c>
      <c r="K188" s="8"/>
      <c r="L188" s="8"/>
      <c r="M188" s="2" t="str">
        <f>IF(J188="","",VLOOKUP(J188,[1]ISO辞書!A:B,2,FALSE))</f>
        <v>RUS</v>
      </c>
      <c r="N188" s="2" t="str">
        <f>IF(K188="","",VLOOKUP(K188,[1]ISO辞書!A:B,2,FALSE))</f>
        <v/>
      </c>
      <c r="O188" s="2" t="str">
        <f>IF(L188="","",VLOOKUP(L188,[1]ISO辞書!A:B,2,FALSE))</f>
        <v/>
      </c>
      <c r="P188" s="3" t="str">
        <f t="shared" si="2"/>
        <v>RUS</v>
      </c>
      <c r="Q188" s="8" t="s">
        <v>1012</v>
      </c>
      <c r="R188" s="8" t="s">
        <v>55</v>
      </c>
      <c r="S188" s="10">
        <v>46136</v>
      </c>
      <c r="T188" s="8" t="s">
        <v>994</v>
      </c>
      <c r="U188" s="8" t="s">
        <v>1013</v>
      </c>
      <c r="V188" s="8">
        <v>2</v>
      </c>
    </row>
    <row r="189" spans="1:22">
      <c r="A189" s="2" t="str">
        <f>IF(C189="","",VLOOKUP(C189,[1]ISO辞書!A:C,2,FALSE))</f>
        <v>QAT</v>
      </c>
      <c r="B189" s="3" t="str">
        <f>IF(C189="","",VLOOKUP(C189,[1]ISO辞書!A:C,3,FALSE))</f>
        <v>Qatar</v>
      </c>
      <c r="C189" s="8" t="s">
        <v>920</v>
      </c>
      <c r="D189" s="8" t="s">
        <v>921</v>
      </c>
      <c r="E189" s="8" t="s">
        <v>922</v>
      </c>
      <c r="F189" s="8" t="s">
        <v>923</v>
      </c>
      <c r="G189" s="9"/>
      <c r="H189" s="8" t="s">
        <v>924</v>
      </c>
      <c r="I189" s="9"/>
      <c r="J189" s="8" t="s">
        <v>869</v>
      </c>
      <c r="K189" s="8"/>
      <c r="L189" s="8"/>
      <c r="M189" s="2" t="str">
        <f>IF(J189="","",VLOOKUP(J189,[1]ISO辞書!A:B,2,FALSE))</f>
        <v>USA</v>
      </c>
      <c r="N189" s="2" t="str">
        <f>IF(K189="","",VLOOKUP(K189,[1]ISO辞書!A:B,2,FALSE))</f>
        <v/>
      </c>
      <c r="O189" s="2" t="str">
        <f>IF(L189="","",VLOOKUP(L189,[1]ISO辞書!A:B,2,FALSE))</f>
        <v/>
      </c>
      <c r="P189" s="3" t="str">
        <f t="shared" si="2"/>
        <v>USA</v>
      </c>
      <c r="Q189" s="8" t="s">
        <v>1014</v>
      </c>
      <c r="R189" s="8" t="s">
        <v>43</v>
      </c>
      <c r="S189" s="10">
        <v>46136</v>
      </c>
      <c r="T189" s="8" t="s">
        <v>1015</v>
      </c>
      <c r="U189" s="8" t="s">
        <v>1016</v>
      </c>
      <c r="V189" s="8">
        <v>3</v>
      </c>
    </row>
    <row r="190" spans="1:22">
      <c r="A190" s="2" t="str">
        <f>IF(C190="","",VLOOKUP(C190,[1]ISO辞書!A:C,2,FALSE))</f>
        <v>TUR</v>
      </c>
      <c r="B190" s="3" t="str">
        <f>IF(C190="","",VLOOKUP(C190,[1]ISO辞書!A:C,3,FALSE))</f>
        <v>Türkiye</v>
      </c>
      <c r="C190" s="8" t="s">
        <v>925</v>
      </c>
      <c r="D190" s="8" t="s">
        <v>926</v>
      </c>
      <c r="E190" s="8" t="s">
        <v>927</v>
      </c>
      <c r="F190" s="8" t="s">
        <v>928</v>
      </c>
      <c r="G190" s="9"/>
      <c r="H190" s="8" t="s">
        <v>929</v>
      </c>
      <c r="I190" s="9"/>
      <c r="J190" s="8"/>
      <c r="K190" s="8"/>
      <c r="L190" s="8"/>
      <c r="M190" s="2" t="str">
        <f>IF(J190="","",VLOOKUP(J190,[1]ISO辞書!A:B,2,FALSE))</f>
        <v/>
      </c>
      <c r="N190" s="2" t="str">
        <f>IF(K190="","",VLOOKUP(K190,[1]ISO辞書!A:B,2,FALSE))</f>
        <v/>
      </c>
      <c r="O190" s="2" t="str">
        <f>IF(L190="","",VLOOKUP(L190,[1]ISO辞書!A:B,2,FALSE))</f>
        <v/>
      </c>
      <c r="P190" s="3" t="str">
        <f t="shared" si="2"/>
        <v/>
      </c>
      <c r="Q190" s="8" t="s">
        <v>1017</v>
      </c>
      <c r="R190" s="8" t="s">
        <v>64</v>
      </c>
      <c r="S190" s="10">
        <v>46135</v>
      </c>
      <c r="T190" s="8" t="s">
        <v>1015</v>
      </c>
      <c r="U190" s="8" t="s">
        <v>1018</v>
      </c>
      <c r="V190" s="8">
        <v>1</v>
      </c>
    </row>
    <row r="191" spans="1:22">
      <c r="A191" s="2" t="str">
        <f>IF(C191="","",VLOOKUP(C191,[1]ISO辞書!A:C,2,FALSE))</f>
        <v>USA</v>
      </c>
      <c r="B191" s="3" t="str">
        <f>IF(C191="","",VLOOKUP(C191,[1]ISO辞書!A:C,3,FALSE))</f>
        <v>America</v>
      </c>
      <c r="C191" s="8" t="s">
        <v>869</v>
      </c>
      <c r="D191" s="8" t="s">
        <v>930</v>
      </c>
      <c r="E191" s="8" t="s">
        <v>931</v>
      </c>
      <c r="F191" s="8" t="s">
        <v>932</v>
      </c>
      <c r="G191" s="9"/>
      <c r="H191" s="8" t="s">
        <v>933</v>
      </c>
      <c r="I191" s="9"/>
      <c r="J191" s="8" t="s">
        <v>934</v>
      </c>
      <c r="K191" s="8" t="s">
        <v>935</v>
      </c>
      <c r="L191" s="8"/>
      <c r="M191" s="2" t="str">
        <f>IF(J191="","",VLOOKUP(J191,[1]ISO辞書!A:B,2,FALSE))</f>
        <v>LBN</v>
      </c>
      <c r="N191" s="2" t="str">
        <f>IF(K191="","",VLOOKUP(K191,[1]ISO辞書!A:B,2,FALSE))</f>
        <v>ISR</v>
      </c>
      <c r="O191" s="2" t="str">
        <f>IF(L191="","",VLOOKUP(L191,[1]ISO辞書!A:B,2,FALSE))</f>
        <v/>
      </c>
      <c r="P191" s="3" t="str">
        <f t="shared" si="2"/>
        <v>LBN;ISR</v>
      </c>
      <c r="Q191" s="8" t="s">
        <v>1019</v>
      </c>
      <c r="R191" s="8" t="s">
        <v>43</v>
      </c>
      <c r="S191" s="10">
        <v>46135</v>
      </c>
      <c r="T191" s="8" t="s">
        <v>1015</v>
      </c>
      <c r="U191" s="8" t="s">
        <v>1020</v>
      </c>
      <c r="V191" s="8">
        <v>5</v>
      </c>
    </row>
    <row r="192" spans="1:22">
      <c r="A192" s="2" t="str">
        <f>IF(C192="","",VLOOKUP(C192,[1]ISO辞書!A:C,2,FALSE))</f>
        <v>IRN</v>
      </c>
      <c r="B192" s="3" t="str">
        <f>IF(C192="","",VLOOKUP(C192,[1]ISO辞書!A:C,3,FALSE))</f>
        <v>Iran</v>
      </c>
      <c r="C192" s="8" t="s">
        <v>878</v>
      </c>
      <c r="D192" s="8" t="s">
        <v>936</v>
      </c>
      <c r="E192" s="8" t="s">
        <v>937</v>
      </c>
      <c r="F192" s="8" t="s">
        <v>938</v>
      </c>
      <c r="G192" s="9"/>
      <c r="H192" s="8" t="s">
        <v>939</v>
      </c>
      <c r="I192" s="9"/>
      <c r="J192" s="8" t="s">
        <v>869</v>
      </c>
      <c r="K192" s="8"/>
      <c r="L192" s="8"/>
      <c r="M192" s="2" t="str">
        <f>IF(J192="","",VLOOKUP(J192,[1]ISO辞書!A:B,2,FALSE))</f>
        <v>USA</v>
      </c>
      <c r="N192" s="2" t="str">
        <f>IF(K192="","",VLOOKUP(K192,[1]ISO辞書!A:B,2,FALSE))</f>
        <v/>
      </c>
      <c r="O192" s="2" t="str">
        <f>IF(L192="","",VLOOKUP(L192,[1]ISO辞書!A:B,2,FALSE))</f>
        <v/>
      </c>
      <c r="P192" s="3" t="str">
        <f t="shared" si="2"/>
        <v>USA</v>
      </c>
      <c r="Q192" s="8" t="s">
        <v>1021</v>
      </c>
      <c r="R192" s="8" t="s">
        <v>55</v>
      </c>
      <c r="S192" s="10">
        <v>46134</v>
      </c>
      <c r="T192" s="8" t="s">
        <v>1015</v>
      </c>
      <c r="U192" s="8" t="s">
        <v>1022</v>
      </c>
      <c r="V192" s="8">
        <v>4</v>
      </c>
    </row>
    <row r="193" spans="1:22">
      <c r="A193" s="2" t="str">
        <f>IF(C193="","",VLOOKUP(C193,[1]ISO辞書!A:C,2,FALSE))</f>
        <v>LBN</v>
      </c>
      <c r="B193" s="3" t="str">
        <f>IF(C193="","",VLOOKUP(C193,[1]ISO辞書!A:C,3,FALSE))</f>
        <v>Lebanon</v>
      </c>
      <c r="C193" s="8" t="s">
        <v>934</v>
      </c>
      <c r="D193" s="8" t="s">
        <v>940</v>
      </c>
      <c r="E193" s="8" t="s">
        <v>941</v>
      </c>
      <c r="F193" s="8" t="s">
        <v>942</v>
      </c>
      <c r="G193" s="9"/>
      <c r="H193" s="8" t="s">
        <v>943</v>
      </c>
      <c r="I193" s="9"/>
      <c r="J193" s="8" t="s">
        <v>935</v>
      </c>
      <c r="K193" s="8" t="s">
        <v>869</v>
      </c>
      <c r="L193" s="8"/>
      <c r="M193" s="2" t="str">
        <f>IF(J193="","",VLOOKUP(J193,[1]ISO辞書!A:B,2,FALSE))</f>
        <v>ISR</v>
      </c>
      <c r="N193" s="2" t="str">
        <f>IF(K193="","",VLOOKUP(K193,[1]ISO辞書!A:B,2,FALSE))</f>
        <v>USA</v>
      </c>
      <c r="O193" s="2" t="str">
        <f>IF(L193="","",VLOOKUP(L193,[1]ISO辞書!A:B,2,FALSE))</f>
        <v/>
      </c>
      <c r="P193" s="3" t="str">
        <f t="shared" si="2"/>
        <v>ISR;USA</v>
      </c>
      <c r="Q193" s="8" t="s">
        <v>1023</v>
      </c>
      <c r="R193" s="8" t="s">
        <v>55</v>
      </c>
      <c r="S193" s="10">
        <v>46133</v>
      </c>
      <c r="T193" s="8" t="s">
        <v>1015</v>
      </c>
      <c r="U193" s="8" t="s">
        <v>1024</v>
      </c>
      <c r="V193" s="8">
        <v>4</v>
      </c>
    </row>
    <row r="194" spans="1:22">
      <c r="A194" s="2" t="str">
        <f>IF(C194="","",VLOOKUP(C194,[1]ISO辞書!A:C,2,FALSE))</f>
        <v>NGA</v>
      </c>
      <c r="B194" s="3" t="str">
        <f>IF(C194="","",VLOOKUP(C194,[1]ISO辞書!A:C,3,FALSE))</f>
        <v>Nigeria</v>
      </c>
      <c r="C194" s="8" t="s">
        <v>944</v>
      </c>
      <c r="D194" s="8" t="s">
        <v>945</v>
      </c>
      <c r="E194" s="8" t="s">
        <v>946</v>
      </c>
      <c r="F194" s="8" t="s">
        <v>947</v>
      </c>
      <c r="G194" s="9"/>
      <c r="H194" s="8"/>
      <c r="I194" s="9"/>
      <c r="J194" s="8"/>
      <c r="K194" s="8"/>
      <c r="L194" s="8"/>
      <c r="M194" s="2" t="str">
        <f>IF(J194="","",VLOOKUP(J194,[1]ISO辞書!A:B,2,FALSE))</f>
        <v/>
      </c>
      <c r="N194" s="2" t="str">
        <f>IF(K194="","",VLOOKUP(K194,[1]ISO辞書!A:B,2,FALSE))</f>
        <v/>
      </c>
      <c r="O194" s="2" t="str">
        <f>IF(L194="","",VLOOKUP(L194,[1]ISO辞書!A:B,2,FALSE))</f>
        <v/>
      </c>
      <c r="P194" s="3" t="str">
        <f t="shared" ref="P194:P257" si="3">_xlfn.TEXTJOIN(";",TRUE,M194:O194)</f>
        <v/>
      </c>
      <c r="Q194" s="8" t="s">
        <v>1025</v>
      </c>
      <c r="R194" s="8" t="s">
        <v>64</v>
      </c>
      <c r="S194" s="10">
        <v>46133</v>
      </c>
      <c r="T194" s="8" t="s">
        <v>1015</v>
      </c>
      <c r="U194" s="8" t="s">
        <v>1026</v>
      </c>
      <c r="V194" s="8">
        <v>1</v>
      </c>
    </row>
    <row r="195" spans="1:22">
      <c r="A195" s="2" t="str">
        <f>IF(C195="","",VLOOKUP(C195,[1]ISO辞書!A:C,2,FALSE))</f>
        <v>BRA</v>
      </c>
      <c r="B195" s="3" t="str">
        <f>IF(C195="","",VLOOKUP(C195,[1]ISO辞書!A:C,3,FALSE))</f>
        <v>Brazil</v>
      </c>
      <c r="C195" s="8" t="s">
        <v>948</v>
      </c>
      <c r="D195" s="8" t="s">
        <v>949</v>
      </c>
      <c r="E195" s="8" t="s">
        <v>950</v>
      </c>
      <c r="F195" s="8" t="s">
        <v>951</v>
      </c>
      <c r="G195" s="9"/>
      <c r="H195" s="8" t="s">
        <v>952</v>
      </c>
      <c r="I195" s="9"/>
      <c r="J195" s="8" t="s">
        <v>869</v>
      </c>
      <c r="K195" s="8"/>
      <c r="L195" s="8"/>
      <c r="M195" s="2" t="str">
        <f>IF(J195="","",VLOOKUP(J195,[1]ISO辞書!A:B,2,FALSE))</f>
        <v>USA</v>
      </c>
      <c r="N195" s="2" t="str">
        <f>IF(K195="","",VLOOKUP(K195,[1]ISO辞書!A:B,2,FALSE))</f>
        <v/>
      </c>
      <c r="O195" s="2" t="str">
        <f>IF(L195="","",VLOOKUP(L195,[1]ISO辞書!A:B,2,FALSE))</f>
        <v/>
      </c>
      <c r="P195" s="3" t="str">
        <f t="shared" si="3"/>
        <v>USA</v>
      </c>
      <c r="Q195" s="8" t="s">
        <v>1027</v>
      </c>
      <c r="R195" s="8" t="s">
        <v>43</v>
      </c>
      <c r="S195" s="10">
        <v>46134</v>
      </c>
      <c r="T195" s="8" t="s">
        <v>1015</v>
      </c>
      <c r="U195" s="8" t="s">
        <v>1028</v>
      </c>
      <c r="V195" s="8">
        <v>3</v>
      </c>
    </row>
    <row r="196" spans="1:22">
      <c r="A196" s="2" t="str">
        <f>IF(C196="","",VLOOKUP(C196,[1]ISO辞書!A:C,2,FALSE))</f>
        <v>RUS</v>
      </c>
      <c r="B196" s="3" t="str">
        <f>IF(C196="","",VLOOKUP(C196,[1]ISO辞書!A:C,3,FALSE))</f>
        <v>Russian Federation</v>
      </c>
      <c r="C196" s="8" t="s">
        <v>919</v>
      </c>
      <c r="D196" s="8" t="s">
        <v>953</v>
      </c>
      <c r="E196" s="8" t="s">
        <v>954</v>
      </c>
      <c r="F196" s="8" t="s">
        <v>955</v>
      </c>
      <c r="G196" s="9"/>
      <c r="H196" s="8"/>
      <c r="I196" s="9"/>
      <c r="J196" s="8" t="s">
        <v>956</v>
      </c>
      <c r="K196" s="8"/>
      <c r="L196" s="8"/>
      <c r="M196" s="2" t="str">
        <f>IF(J196="","",VLOOKUP(J196,[1]ISO辞書!A:B,2,FALSE))</f>
        <v>PRK</v>
      </c>
      <c r="N196" s="2" t="str">
        <f>IF(K196="","",VLOOKUP(K196,[1]ISO辞書!A:B,2,FALSE))</f>
        <v/>
      </c>
      <c r="O196" s="2" t="str">
        <f>IF(L196="","",VLOOKUP(L196,[1]ISO辞書!A:B,2,FALSE))</f>
        <v/>
      </c>
      <c r="P196" s="3" t="str">
        <f t="shared" si="3"/>
        <v>PRK</v>
      </c>
      <c r="Q196" s="8" t="s">
        <v>1029</v>
      </c>
      <c r="R196" s="8" t="s">
        <v>43</v>
      </c>
      <c r="S196" s="10">
        <v>46137</v>
      </c>
      <c r="T196" s="8" t="s">
        <v>1015</v>
      </c>
      <c r="U196" s="8" t="s">
        <v>1030</v>
      </c>
      <c r="V196" s="8">
        <v>2</v>
      </c>
    </row>
    <row r="197" spans="1:22">
      <c r="A197" s="2" t="str">
        <f>IF(C197="","",VLOOKUP(C197,[1]ISO辞書!A:C,2,FALSE))</f>
        <v>PHL</v>
      </c>
      <c r="B197" s="3" t="str">
        <f>IF(C197="","",VLOOKUP(C197,[1]ISO辞書!A:C,3,FALSE))</f>
        <v>Philippines</v>
      </c>
      <c r="C197" s="8" t="s">
        <v>957</v>
      </c>
      <c r="D197" s="8" t="s">
        <v>958</v>
      </c>
      <c r="E197" s="8" t="s">
        <v>959</v>
      </c>
      <c r="F197" s="8" t="s">
        <v>960</v>
      </c>
      <c r="G197" s="9"/>
      <c r="H197" s="8" t="s">
        <v>961</v>
      </c>
      <c r="I197" s="9"/>
      <c r="J197" s="8"/>
      <c r="K197" s="8"/>
      <c r="L197" s="8"/>
      <c r="M197" s="2" t="str">
        <f>IF(J197="","",VLOOKUP(J197,[1]ISO辞書!A:B,2,FALSE))</f>
        <v/>
      </c>
      <c r="N197" s="2" t="str">
        <f>IF(K197="","",VLOOKUP(K197,[1]ISO辞書!A:B,2,FALSE))</f>
        <v/>
      </c>
      <c r="O197" s="2" t="str">
        <f>IF(L197="","",VLOOKUP(L197,[1]ISO辞書!A:B,2,FALSE))</f>
        <v/>
      </c>
      <c r="P197" s="3" t="str">
        <f t="shared" si="3"/>
        <v/>
      </c>
      <c r="Q197" s="8" t="s">
        <v>1031</v>
      </c>
      <c r="R197" s="8" t="s">
        <v>43</v>
      </c>
      <c r="S197" s="10">
        <v>46135</v>
      </c>
      <c r="T197" s="8" t="s">
        <v>1015</v>
      </c>
      <c r="U197" s="8" t="s">
        <v>1032</v>
      </c>
      <c r="V197" s="8">
        <v>3</v>
      </c>
    </row>
    <row r="198" spans="1:22">
      <c r="A198" s="2" t="str">
        <f>IF(C198="","",VLOOKUP(C198,[1]ISO辞書!A:C,2,FALSE))</f>
        <v>KOR</v>
      </c>
      <c r="B198" s="3" t="str">
        <f>IF(C198="","",VLOOKUP(C198,[1]ISO辞書!A:C,3,FALSE))</f>
        <v>Korea</v>
      </c>
      <c r="C198" s="8" t="s">
        <v>962</v>
      </c>
      <c r="D198" s="8" t="s">
        <v>963</v>
      </c>
      <c r="E198" s="8" t="s">
        <v>964</v>
      </c>
      <c r="F198" s="8" t="s">
        <v>965</v>
      </c>
      <c r="G198" s="9"/>
      <c r="H198" s="8" t="s">
        <v>966</v>
      </c>
      <c r="I198" s="9"/>
      <c r="J198" s="8" t="s">
        <v>967</v>
      </c>
      <c r="K198" s="8"/>
      <c r="L198" s="8"/>
      <c r="M198" s="2" t="str">
        <f>IF(J198="","",VLOOKUP(J198,[1]ISO辞書!A:B,2,FALSE))</f>
        <v>VNM</v>
      </c>
      <c r="N198" s="2" t="str">
        <f>IF(K198="","",VLOOKUP(K198,[1]ISO辞書!A:B,2,FALSE))</f>
        <v/>
      </c>
      <c r="O198" s="2" t="str">
        <f>IF(L198="","",VLOOKUP(L198,[1]ISO辞書!A:B,2,FALSE))</f>
        <v/>
      </c>
      <c r="P198" s="3" t="str">
        <f t="shared" si="3"/>
        <v>VNM</v>
      </c>
      <c r="Q198" s="8" t="s">
        <v>1033</v>
      </c>
      <c r="R198" s="8" t="s">
        <v>43</v>
      </c>
      <c r="S198" s="10">
        <v>46135</v>
      </c>
      <c r="T198" s="8" t="s">
        <v>1015</v>
      </c>
      <c r="U198" s="8" t="s">
        <v>1034</v>
      </c>
      <c r="V198" s="8">
        <v>3</v>
      </c>
    </row>
    <row r="199" spans="1:22">
      <c r="A199" s="2" t="str">
        <f>IF(C199="","",VLOOKUP(C199,[1]ISO辞書!A:C,2,FALSE))</f>
        <v>DEU</v>
      </c>
      <c r="B199" s="3" t="str">
        <f>IF(C199="","",VLOOKUP(C199,[1]ISO辞書!A:C,3,FALSE))</f>
        <v>Germany</v>
      </c>
      <c r="C199" s="8" t="s">
        <v>968</v>
      </c>
      <c r="D199" s="8" t="s">
        <v>969</v>
      </c>
      <c r="E199" s="8" t="s">
        <v>970</v>
      </c>
      <c r="F199" s="8" t="s">
        <v>971</v>
      </c>
      <c r="G199" s="9"/>
      <c r="H199" s="8" t="s">
        <v>972</v>
      </c>
      <c r="I199" s="9"/>
      <c r="J199" s="8"/>
      <c r="K199" s="8"/>
      <c r="L199" s="8"/>
      <c r="M199" s="2" t="str">
        <f>IF(J199="","",VLOOKUP(J199,[1]ISO辞書!A:B,2,FALSE))</f>
        <v/>
      </c>
      <c r="N199" s="2" t="str">
        <f>IF(K199="","",VLOOKUP(K199,[1]ISO辞書!A:B,2,FALSE))</f>
        <v/>
      </c>
      <c r="O199" s="2" t="str">
        <f>IF(L199="","",VLOOKUP(L199,[1]ISO辞書!A:B,2,FALSE))</f>
        <v/>
      </c>
      <c r="P199" s="3" t="str">
        <f t="shared" si="3"/>
        <v/>
      </c>
      <c r="Q199" s="8" t="s">
        <v>1035</v>
      </c>
      <c r="R199" s="8" t="s">
        <v>64</v>
      </c>
      <c r="S199" s="10">
        <v>46137</v>
      </c>
      <c r="T199" s="8" t="s">
        <v>1015</v>
      </c>
      <c r="U199" s="8" t="s">
        <v>1036</v>
      </c>
      <c r="V199" s="8">
        <v>4</v>
      </c>
    </row>
    <row r="200" spans="1:22">
      <c r="A200" s="2" t="str">
        <f>IF(C200="","",VLOOKUP(C200,[1]ISO辞書!A:C,2,FALSE))</f>
        <v>UKR</v>
      </c>
      <c r="B200" s="3" t="str">
        <f>IF(C200="","",VLOOKUP(C200,[1]ISO辞書!A:C,3,FALSE))</f>
        <v>Ukraine</v>
      </c>
      <c r="C200" s="8" t="s">
        <v>914</v>
      </c>
      <c r="D200" s="8" t="s">
        <v>973</v>
      </c>
      <c r="E200" s="8" t="s">
        <v>974</v>
      </c>
      <c r="F200" s="8" t="s">
        <v>975</v>
      </c>
      <c r="G200" s="9"/>
      <c r="H200" s="8" t="s">
        <v>976</v>
      </c>
      <c r="I200" s="9"/>
      <c r="J200" s="8" t="s">
        <v>977</v>
      </c>
      <c r="K200" s="8"/>
      <c r="L200" s="8"/>
      <c r="M200" s="2" t="str">
        <f>IF(J200="","",VLOOKUP(J200,[1]ISO辞書!A:B,2,FALSE))</f>
        <v>SAU</v>
      </c>
      <c r="N200" s="2" t="str">
        <f>IF(K200="","",VLOOKUP(K200,[1]ISO辞書!A:B,2,FALSE))</f>
        <v/>
      </c>
      <c r="O200" s="2" t="str">
        <f>IF(L200="","",VLOOKUP(L200,[1]ISO辞書!A:B,2,FALSE))</f>
        <v/>
      </c>
      <c r="P200" s="3" t="str">
        <f t="shared" si="3"/>
        <v>SAU</v>
      </c>
      <c r="Q200" s="8" t="s">
        <v>1037</v>
      </c>
      <c r="R200" s="8" t="s">
        <v>43</v>
      </c>
      <c r="S200" s="10">
        <v>46136</v>
      </c>
      <c r="T200" s="8" t="s">
        <v>1015</v>
      </c>
      <c r="U200" s="8" t="s">
        <v>1038</v>
      </c>
      <c r="V200" s="8">
        <v>4</v>
      </c>
    </row>
    <row r="201" spans="1:22">
      <c r="A201" s="2" t="str">
        <f>IF(C201="","",VLOOKUP(C201,[1]ISO辞書!A:C,2,FALSE))</f>
        <v>USA</v>
      </c>
      <c r="B201" s="3" t="str">
        <f>IF(C201="","",VLOOKUP(C201,[1]ISO辞書!A:C,3,FALSE))</f>
        <v>America</v>
      </c>
      <c r="C201" s="8" t="s">
        <v>869</v>
      </c>
      <c r="D201" s="8" t="s">
        <v>978</v>
      </c>
      <c r="E201" s="8" t="s">
        <v>979</v>
      </c>
      <c r="F201" s="8" t="s">
        <v>980</v>
      </c>
      <c r="G201" s="9"/>
      <c r="H201" s="8" t="s">
        <v>981</v>
      </c>
      <c r="I201" s="9"/>
      <c r="J201" s="8" t="s">
        <v>982</v>
      </c>
      <c r="K201" s="8"/>
      <c r="L201" s="8"/>
      <c r="M201" s="2" t="str">
        <f>IF(J201="","",VLOOKUP(J201,[1]ISO辞書!A:B,2,FALSE))</f>
        <v>NLD</v>
      </c>
      <c r="N201" s="2" t="str">
        <f>IF(K201="","",VLOOKUP(K201,[1]ISO辞書!A:B,2,FALSE))</f>
        <v/>
      </c>
      <c r="O201" s="2" t="str">
        <f>IF(L201="","",VLOOKUP(L201,[1]ISO辞書!A:B,2,FALSE))</f>
        <v/>
      </c>
      <c r="P201" s="3" t="str">
        <f t="shared" si="3"/>
        <v>NLD</v>
      </c>
      <c r="Q201" s="8" t="s">
        <v>1039</v>
      </c>
      <c r="R201" s="8" t="s">
        <v>43</v>
      </c>
      <c r="S201" s="10">
        <v>46134</v>
      </c>
      <c r="T201" s="8" t="s">
        <v>1015</v>
      </c>
      <c r="U201" s="8" t="s">
        <v>1040</v>
      </c>
      <c r="V201" s="8">
        <v>3</v>
      </c>
    </row>
    <row r="202" spans="1:22">
      <c r="A202" s="2" t="str">
        <f>IF(C202="","",VLOOKUP(C202,[1]ISO辞書!A:C,2,FALSE))</f>
        <v>EU</v>
      </c>
      <c r="B202" s="3" t="str">
        <f>IF(C202="","",VLOOKUP(C202,[1]ISO辞書!A:C,3,FALSE))</f>
        <v>EU</v>
      </c>
      <c r="C202" s="8" t="s">
        <v>983</v>
      </c>
      <c r="D202" s="8" t="s">
        <v>984</v>
      </c>
      <c r="E202" s="8" t="s">
        <v>985</v>
      </c>
      <c r="F202" s="8" t="s">
        <v>986</v>
      </c>
      <c r="G202" s="9"/>
      <c r="H202" s="8" t="s">
        <v>987</v>
      </c>
      <c r="I202" s="9"/>
      <c r="J202" s="8" t="s">
        <v>919</v>
      </c>
      <c r="K202" s="8"/>
      <c r="L202" s="8"/>
      <c r="M202" s="2" t="str">
        <f>IF(J202="","",VLOOKUP(J202,[1]ISO辞書!A:B,2,FALSE))</f>
        <v>RUS</v>
      </c>
      <c r="N202" s="2" t="str">
        <f>IF(K202="","",VLOOKUP(K202,[1]ISO辞書!A:B,2,FALSE))</f>
        <v/>
      </c>
      <c r="O202" s="2" t="str">
        <f>IF(L202="","",VLOOKUP(L202,[1]ISO辞書!A:B,2,FALSE))</f>
        <v/>
      </c>
      <c r="P202" s="3" t="str">
        <f t="shared" si="3"/>
        <v>RUS</v>
      </c>
      <c r="Q202" s="8" t="s">
        <v>1041</v>
      </c>
      <c r="R202" s="8" t="s">
        <v>43</v>
      </c>
      <c r="S202" s="10">
        <v>46133</v>
      </c>
      <c r="T202" s="8" t="s">
        <v>1015</v>
      </c>
      <c r="U202" s="8" t="s">
        <v>1042</v>
      </c>
      <c r="V202" s="8">
        <v>3</v>
      </c>
    </row>
    <row r="203" spans="1:22">
      <c r="A203" s="2" t="str">
        <f>IF(C203="","",VLOOKUP(C203,[1]ISO辞書!A:C,2,FALSE))</f>
        <v>JPN</v>
      </c>
      <c r="B203" s="3" t="str">
        <f>IF(C203="","",VLOOKUP(C203,[1]ISO辞書!A:C,3,FALSE))</f>
        <v>Japan</v>
      </c>
      <c r="C203" s="8" t="s">
        <v>988</v>
      </c>
      <c r="D203" s="8" t="s">
        <v>989</v>
      </c>
      <c r="E203" s="8" t="s">
        <v>990</v>
      </c>
      <c r="F203" s="8" t="s">
        <v>991</v>
      </c>
      <c r="G203" s="9"/>
      <c r="H203" s="8" t="s">
        <v>992</v>
      </c>
      <c r="I203" s="9"/>
      <c r="J203" s="8"/>
      <c r="K203" s="8"/>
      <c r="L203" s="8"/>
      <c r="M203" s="2" t="str">
        <f>IF(J203="","",VLOOKUP(J203,[1]ISO辞書!A:B,2,FALSE))</f>
        <v/>
      </c>
      <c r="N203" s="2" t="str">
        <f>IF(K203="","",VLOOKUP(K203,[1]ISO辞書!A:B,2,FALSE))</f>
        <v/>
      </c>
      <c r="O203" s="2" t="str">
        <f>IF(L203="","",VLOOKUP(L203,[1]ISO辞書!A:B,2,FALSE))</f>
        <v/>
      </c>
      <c r="P203" s="3" t="str">
        <f t="shared" si="3"/>
        <v/>
      </c>
      <c r="Q203" s="8" t="s">
        <v>1043</v>
      </c>
      <c r="R203" s="8" t="s">
        <v>64</v>
      </c>
      <c r="S203" s="10">
        <v>46133</v>
      </c>
      <c r="T203" s="8" t="s">
        <v>1015</v>
      </c>
      <c r="U203" s="8" t="s">
        <v>1044</v>
      </c>
      <c r="V203" s="8">
        <v>5</v>
      </c>
    </row>
    <row r="204" spans="1:22">
      <c r="A204" s="2" t="str">
        <f>IF(C204="","",VLOOKUP(C204,[1]ISO辞書!A:C,2,FALSE))</f>
        <v/>
      </c>
      <c r="B204" s="3" t="str">
        <f>IF(C204="","",VLOOKUP(C204,[1]ISO辞書!A:C,3,FALSE))</f>
        <v/>
      </c>
      <c r="M204" s="2" t="str">
        <f>IF(J204="","",VLOOKUP(J204,[1]ISO辞書!A:B,2,FALSE))</f>
        <v/>
      </c>
      <c r="N204" s="2" t="str">
        <f>IF(K204="","",VLOOKUP(K204,[1]ISO辞書!A:B,2,FALSE))</f>
        <v/>
      </c>
      <c r="O204" s="2" t="str">
        <f>IF(L204="","",VLOOKUP(L204,[1]ISO辞書!A:B,2,FALSE))</f>
        <v/>
      </c>
      <c r="P204" s="3" t="str">
        <f t="shared" si="3"/>
        <v/>
      </c>
    </row>
    <row r="205" spans="1:22">
      <c r="A205" s="2" t="str">
        <f>IF(C205="","",VLOOKUP(C205,[1]ISO辞書!A:C,2,FALSE))</f>
        <v/>
      </c>
      <c r="B205" s="3" t="str">
        <f>IF(C205="","",VLOOKUP(C205,[1]ISO辞書!A:C,3,FALSE))</f>
        <v/>
      </c>
      <c r="M205" s="2" t="str">
        <f>IF(J205="","",VLOOKUP(J205,[1]ISO辞書!A:B,2,FALSE))</f>
        <v/>
      </c>
      <c r="N205" s="2" t="str">
        <f>IF(K205="","",VLOOKUP(K205,[1]ISO辞書!A:B,2,FALSE))</f>
        <v/>
      </c>
      <c r="O205" s="2" t="str">
        <f>IF(L205="","",VLOOKUP(L205,[1]ISO辞書!A:B,2,FALSE))</f>
        <v/>
      </c>
      <c r="P205" s="3" t="str">
        <f t="shared" si="3"/>
        <v/>
      </c>
    </row>
    <row r="206" spans="1:22">
      <c r="A206" s="2" t="str">
        <f>IF(C206="","",VLOOKUP(C206,[1]ISO辞書!A:C,2,FALSE))</f>
        <v/>
      </c>
      <c r="B206" s="3" t="str">
        <f>IF(C206="","",VLOOKUP(C206,[1]ISO辞書!A:C,3,FALSE))</f>
        <v/>
      </c>
      <c r="M206" s="2" t="str">
        <f>IF(J206="","",VLOOKUP(J206,[1]ISO辞書!A:B,2,FALSE))</f>
        <v/>
      </c>
      <c r="N206" s="2" t="str">
        <f>IF(K206="","",VLOOKUP(K206,[1]ISO辞書!A:B,2,FALSE))</f>
        <v/>
      </c>
      <c r="O206" s="2" t="str">
        <f>IF(L206="","",VLOOKUP(L206,[1]ISO辞書!A:B,2,FALSE))</f>
        <v/>
      </c>
      <c r="P206" s="3" t="str">
        <f t="shared" si="3"/>
        <v/>
      </c>
    </row>
    <row r="207" spans="1:22">
      <c r="A207" s="2" t="str">
        <f>IF(C207="","",VLOOKUP(C207,[1]ISO辞書!A:C,2,FALSE))</f>
        <v/>
      </c>
      <c r="B207" s="3" t="str">
        <f>IF(C207="","",VLOOKUP(C207,[1]ISO辞書!A:C,3,FALSE))</f>
        <v/>
      </c>
      <c r="M207" s="2" t="str">
        <f>IF(J207="","",VLOOKUP(J207,[1]ISO辞書!A:B,2,FALSE))</f>
        <v/>
      </c>
      <c r="N207" s="2" t="str">
        <f>IF(K207="","",VLOOKUP(K207,[1]ISO辞書!A:B,2,FALSE))</f>
        <v/>
      </c>
      <c r="O207" s="2" t="str">
        <f>IF(L207="","",VLOOKUP(L207,[1]ISO辞書!A:B,2,FALSE))</f>
        <v/>
      </c>
      <c r="P207" s="3" t="str">
        <f t="shared" si="3"/>
        <v/>
      </c>
    </row>
    <row r="208" spans="1:22">
      <c r="A208" s="2" t="str">
        <f>IF(C208="","",VLOOKUP(C208,[1]ISO辞書!A:C,2,FALSE))</f>
        <v/>
      </c>
      <c r="B208" s="3" t="str">
        <f>IF(C208="","",VLOOKUP(C208,[1]ISO辞書!A:C,3,FALSE))</f>
        <v/>
      </c>
      <c r="M208" s="2" t="str">
        <f>IF(J208="","",VLOOKUP(J208,[1]ISO辞書!A:B,2,FALSE))</f>
        <v/>
      </c>
      <c r="N208" s="2" t="str">
        <f>IF(K208="","",VLOOKUP(K208,[1]ISO辞書!A:B,2,FALSE))</f>
        <v/>
      </c>
      <c r="O208" s="2" t="str">
        <f>IF(L208="","",VLOOKUP(L208,[1]ISO辞書!A:B,2,FALSE))</f>
        <v/>
      </c>
      <c r="P208" s="3" t="str">
        <f t="shared" si="3"/>
        <v/>
      </c>
    </row>
    <row r="209" spans="1:16">
      <c r="A209" s="2" t="str">
        <f>IF(C209="","",VLOOKUP(C209,[1]ISO辞書!A:C,2,FALSE))</f>
        <v/>
      </c>
      <c r="B209" s="3" t="str">
        <f>IF(C209="","",VLOOKUP(C209,[1]ISO辞書!A:C,3,FALSE))</f>
        <v/>
      </c>
      <c r="M209" s="2" t="str">
        <f>IF(J209="","",VLOOKUP(J209,[1]ISO辞書!A:B,2,FALSE))</f>
        <v/>
      </c>
      <c r="N209" s="2" t="str">
        <f>IF(K209="","",VLOOKUP(K209,[1]ISO辞書!A:B,2,FALSE))</f>
        <v/>
      </c>
      <c r="O209" s="2" t="str">
        <f>IF(L209="","",VLOOKUP(L209,[1]ISO辞書!A:B,2,FALSE))</f>
        <v/>
      </c>
      <c r="P209" s="3" t="str">
        <f t="shared" si="3"/>
        <v/>
      </c>
    </row>
    <row r="210" spans="1:16">
      <c r="A210" s="2" t="str">
        <f>IF(C210="","",VLOOKUP(C210,[1]ISO辞書!A:C,2,FALSE))</f>
        <v/>
      </c>
      <c r="B210" s="3" t="str">
        <f>IF(C210="","",VLOOKUP(C210,[1]ISO辞書!A:C,3,FALSE))</f>
        <v/>
      </c>
      <c r="M210" s="2" t="str">
        <f>IF(J210="","",VLOOKUP(J210,[1]ISO辞書!A:B,2,FALSE))</f>
        <v/>
      </c>
      <c r="N210" s="2" t="str">
        <f>IF(K210="","",VLOOKUP(K210,[1]ISO辞書!A:B,2,FALSE))</f>
        <v/>
      </c>
      <c r="O210" s="2" t="str">
        <f>IF(L210="","",VLOOKUP(L210,[1]ISO辞書!A:B,2,FALSE))</f>
        <v/>
      </c>
      <c r="P210" s="3" t="str">
        <f t="shared" si="3"/>
        <v/>
      </c>
    </row>
    <row r="211" spans="1:16">
      <c r="A211" s="2" t="str">
        <f>IF(C211="","",VLOOKUP(C211,[1]ISO辞書!A:C,2,FALSE))</f>
        <v/>
      </c>
      <c r="B211" s="3" t="str">
        <f>IF(C211="","",VLOOKUP(C211,[1]ISO辞書!A:C,3,FALSE))</f>
        <v/>
      </c>
      <c r="M211" s="2" t="str">
        <f>IF(J211="","",VLOOKUP(J211,[1]ISO辞書!A:B,2,FALSE))</f>
        <v/>
      </c>
      <c r="N211" s="2" t="str">
        <f>IF(K211="","",VLOOKUP(K211,[1]ISO辞書!A:B,2,FALSE))</f>
        <v/>
      </c>
      <c r="O211" s="2" t="str">
        <f>IF(L211="","",VLOOKUP(L211,[1]ISO辞書!A:B,2,FALSE))</f>
        <v/>
      </c>
      <c r="P211" s="3" t="str">
        <f t="shared" si="3"/>
        <v/>
      </c>
    </row>
    <row r="212" spans="1:16">
      <c r="A212" s="2" t="str">
        <f>IF(C212="","",VLOOKUP(C212,[1]ISO辞書!A:C,2,FALSE))</f>
        <v/>
      </c>
      <c r="B212" s="3" t="str">
        <f>IF(C212="","",VLOOKUP(C212,[1]ISO辞書!A:C,3,FALSE))</f>
        <v/>
      </c>
      <c r="M212" s="2" t="str">
        <f>IF(J212="","",VLOOKUP(J212,[1]ISO辞書!A:B,2,FALSE))</f>
        <v/>
      </c>
      <c r="N212" s="2" t="str">
        <f>IF(K212="","",VLOOKUP(K212,[1]ISO辞書!A:B,2,FALSE))</f>
        <v/>
      </c>
      <c r="O212" s="2" t="str">
        <f>IF(L212="","",VLOOKUP(L212,[1]ISO辞書!A:B,2,FALSE))</f>
        <v/>
      </c>
      <c r="P212" s="3" t="str">
        <f t="shared" si="3"/>
        <v/>
      </c>
    </row>
    <row r="213" spans="1:16">
      <c r="A213" s="2" t="str">
        <f>IF(C213="","",VLOOKUP(C213,[1]ISO辞書!A:C,2,FALSE))</f>
        <v/>
      </c>
      <c r="B213" s="3" t="str">
        <f>IF(C213="","",VLOOKUP(C213,[1]ISO辞書!A:C,3,FALSE))</f>
        <v/>
      </c>
      <c r="M213" s="2" t="str">
        <f>IF(J213="","",VLOOKUP(J213,[1]ISO辞書!A:B,2,FALSE))</f>
        <v/>
      </c>
      <c r="N213" s="2" t="str">
        <f>IF(K213="","",VLOOKUP(K213,[1]ISO辞書!A:B,2,FALSE))</f>
        <v/>
      </c>
      <c r="O213" s="2" t="str">
        <f>IF(L213="","",VLOOKUP(L213,[1]ISO辞書!A:B,2,FALSE))</f>
        <v/>
      </c>
      <c r="P213" s="3" t="str">
        <f t="shared" si="3"/>
        <v/>
      </c>
    </row>
    <row r="214" spans="1:16">
      <c r="A214" s="2" t="str">
        <f>IF(C214="","",VLOOKUP(C214,[1]ISO辞書!A:C,2,FALSE))</f>
        <v/>
      </c>
      <c r="B214" s="3" t="str">
        <f>IF(C214="","",VLOOKUP(C214,[1]ISO辞書!A:C,3,FALSE))</f>
        <v/>
      </c>
      <c r="M214" s="2" t="str">
        <f>IF(J214="","",VLOOKUP(J214,[1]ISO辞書!A:B,2,FALSE))</f>
        <v/>
      </c>
      <c r="N214" s="2" t="str">
        <f>IF(K214="","",VLOOKUP(K214,[1]ISO辞書!A:B,2,FALSE))</f>
        <v/>
      </c>
      <c r="O214" s="2" t="str">
        <f>IF(L214="","",VLOOKUP(L214,[1]ISO辞書!A:B,2,FALSE))</f>
        <v/>
      </c>
      <c r="P214" s="3" t="str">
        <f t="shared" si="3"/>
        <v/>
      </c>
    </row>
    <row r="215" spans="1:16">
      <c r="A215" s="2" t="str">
        <f>IF(C215="","",VLOOKUP(C215,[1]ISO辞書!A:C,2,FALSE))</f>
        <v/>
      </c>
      <c r="B215" s="3" t="str">
        <f>IF(C215="","",VLOOKUP(C215,[1]ISO辞書!A:C,3,FALSE))</f>
        <v/>
      </c>
      <c r="M215" s="2" t="str">
        <f>IF(J215="","",VLOOKUP(J215,[1]ISO辞書!A:B,2,FALSE))</f>
        <v/>
      </c>
      <c r="N215" s="2" t="str">
        <f>IF(K215="","",VLOOKUP(K215,[1]ISO辞書!A:B,2,FALSE))</f>
        <v/>
      </c>
      <c r="O215" s="2" t="str">
        <f>IF(L215="","",VLOOKUP(L215,[1]ISO辞書!A:B,2,FALSE))</f>
        <v/>
      </c>
      <c r="P215" s="3" t="str">
        <f t="shared" si="3"/>
        <v/>
      </c>
    </row>
    <row r="216" spans="1:16">
      <c r="A216" s="2" t="str">
        <f>IF(C216="","",VLOOKUP(C216,[1]ISO辞書!A:C,2,FALSE))</f>
        <v/>
      </c>
      <c r="B216" s="3" t="str">
        <f>IF(C216="","",VLOOKUP(C216,[1]ISO辞書!A:C,3,FALSE))</f>
        <v/>
      </c>
      <c r="M216" s="2" t="str">
        <f>IF(J216="","",VLOOKUP(J216,[1]ISO辞書!A:B,2,FALSE))</f>
        <v/>
      </c>
      <c r="N216" s="2" t="str">
        <f>IF(K216="","",VLOOKUP(K216,[1]ISO辞書!A:B,2,FALSE))</f>
        <v/>
      </c>
      <c r="O216" s="2" t="str">
        <f>IF(L216="","",VLOOKUP(L216,[1]ISO辞書!A:B,2,FALSE))</f>
        <v/>
      </c>
      <c r="P216" s="3" t="str">
        <f t="shared" si="3"/>
        <v/>
      </c>
    </row>
    <row r="217" spans="1:16">
      <c r="A217" s="2" t="str">
        <f>IF(C217="","",VLOOKUP(C217,[1]ISO辞書!A:C,2,FALSE))</f>
        <v/>
      </c>
      <c r="B217" s="3" t="str">
        <f>IF(C217="","",VLOOKUP(C217,[1]ISO辞書!A:C,3,FALSE))</f>
        <v/>
      </c>
      <c r="M217" s="2" t="str">
        <f>IF(J217="","",VLOOKUP(J217,[1]ISO辞書!A:B,2,FALSE))</f>
        <v/>
      </c>
      <c r="N217" s="2" t="str">
        <f>IF(K217="","",VLOOKUP(K217,[1]ISO辞書!A:B,2,FALSE))</f>
        <v/>
      </c>
      <c r="O217" s="2" t="str">
        <f>IF(L217="","",VLOOKUP(L217,[1]ISO辞書!A:B,2,FALSE))</f>
        <v/>
      </c>
      <c r="P217" s="3" t="str">
        <f t="shared" si="3"/>
        <v/>
      </c>
    </row>
    <row r="218" spans="1:16">
      <c r="A218" s="2" t="str">
        <f>IF(C218="","",VLOOKUP(C218,[1]ISO辞書!A:C,2,FALSE))</f>
        <v/>
      </c>
      <c r="B218" s="3" t="str">
        <f>IF(C218="","",VLOOKUP(C218,[1]ISO辞書!A:C,3,FALSE))</f>
        <v/>
      </c>
      <c r="M218" s="2" t="str">
        <f>IF(J218="","",VLOOKUP(J218,[1]ISO辞書!A:B,2,FALSE))</f>
        <v/>
      </c>
      <c r="N218" s="2" t="str">
        <f>IF(K218="","",VLOOKUP(K218,[1]ISO辞書!A:B,2,FALSE))</f>
        <v/>
      </c>
      <c r="O218" s="2" t="str">
        <f>IF(L218="","",VLOOKUP(L218,[1]ISO辞書!A:B,2,FALSE))</f>
        <v/>
      </c>
      <c r="P218" s="3" t="str">
        <f t="shared" si="3"/>
        <v/>
      </c>
    </row>
    <row r="219" spans="1:16">
      <c r="A219" s="2" t="str">
        <f>IF(C219="","",VLOOKUP(C219,[1]ISO辞書!A:C,2,FALSE))</f>
        <v/>
      </c>
      <c r="B219" s="3" t="str">
        <f>IF(C219="","",VLOOKUP(C219,[1]ISO辞書!A:C,3,FALSE))</f>
        <v/>
      </c>
      <c r="M219" s="2" t="str">
        <f>IF(J219="","",VLOOKUP(J219,[1]ISO辞書!A:B,2,FALSE))</f>
        <v/>
      </c>
      <c r="N219" s="2" t="str">
        <f>IF(K219="","",VLOOKUP(K219,[1]ISO辞書!A:B,2,FALSE))</f>
        <v/>
      </c>
      <c r="O219" s="2" t="str">
        <f>IF(L219="","",VLOOKUP(L219,[1]ISO辞書!A:B,2,FALSE))</f>
        <v/>
      </c>
      <c r="P219" s="3" t="str">
        <f t="shared" si="3"/>
        <v/>
      </c>
    </row>
    <row r="220" spans="1:16">
      <c r="A220" s="2" t="str">
        <f>IF(C220="","",VLOOKUP(C220,[1]ISO辞書!A:C,2,FALSE))</f>
        <v/>
      </c>
      <c r="B220" s="3" t="str">
        <f>IF(C220="","",VLOOKUP(C220,[1]ISO辞書!A:C,3,FALSE))</f>
        <v/>
      </c>
      <c r="M220" s="2" t="str">
        <f>IF(J220="","",VLOOKUP(J220,[1]ISO辞書!A:B,2,FALSE))</f>
        <v/>
      </c>
      <c r="N220" s="2" t="str">
        <f>IF(K220="","",VLOOKUP(K220,[1]ISO辞書!A:B,2,FALSE))</f>
        <v/>
      </c>
      <c r="O220" s="2" t="str">
        <f>IF(L220="","",VLOOKUP(L220,[1]ISO辞書!A:B,2,FALSE))</f>
        <v/>
      </c>
      <c r="P220" s="3" t="str">
        <f t="shared" si="3"/>
        <v/>
      </c>
    </row>
    <row r="221" spans="1:16">
      <c r="A221" s="2" t="str">
        <f>IF(C221="","",VLOOKUP(C221,[1]ISO辞書!A:C,2,FALSE))</f>
        <v/>
      </c>
      <c r="B221" s="3" t="str">
        <f>IF(C221="","",VLOOKUP(C221,[1]ISO辞書!A:C,3,FALSE))</f>
        <v/>
      </c>
      <c r="M221" s="2" t="str">
        <f>IF(J221="","",VLOOKUP(J221,[1]ISO辞書!A:B,2,FALSE))</f>
        <v/>
      </c>
      <c r="N221" s="2" t="str">
        <f>IF(K221="","",VLOOKUP(K221,[1]ISO辞書!A:B,2,FALSE))</f>
        <v/>
      </c>
      <c r="O221" s="2" t="str">
        <f>IF(L221="","",VLOOKUP(L221,[1]ISO辞書!A:B,2,FALSE))</f>
        <v/>
      </c>
      <c r="P221" s="3" t="str">
        <f t="shared" si="3"/>
        <v/>
      </c>
    </row>
    <row r="222" spans="1:16">
      <c r="A222" s="2" t="str">
        <f>IF(C222="","",VLOOKUP(C222,[1]ISO辞書!A:C,2,FALSE))</f>
        <v/>
      </c>
      <c r="B222" s="3" t="str">
        <f>IF(C222="","",VLOOKUP(C222,[1]ISO辞書!A:C,3,FALSE))</f>
        <v/>
      </c>
      <c r="M222" s="2" t="str">
        <f>IF(J222="","",VLOOKUP(J222,[1]ISO辞書!A:B,2,FALSE))</f>
        <v/>
      </c>
      <c r="N222" s="2" t="str">
        <f>IF(K222="","",VLOOKUP(K222,[1]ISO辞書!A:B,2,FALSE))</f>
        <v/>
      </c>
      <c r="O222" s="2" t="str">
        <f>IF(L222="","",VLOOKUP(L222,[1]ISO辞書!A:B,2,FALSE))</f>
        <v/>
      </c>
      <c r="P222" s="3" t="str">
        <f t="shared" si="3"/>
        <v/>
      </c>
    </row>
    <row r="223" spans="1:16">
      <c r="A223" s="2" t="str">
        <f>IF(C223="","",VLOOKUP(C223,[1]ISO辞書!A:C,2,FALSE))</f>
        <v/>
      </c>
      <c r="B223" s="3" t="str">
        <f>IF(C223="","",VLOOKUP(C223,[1]ISO辞書!A:C,3,FALSE))</f>
        <v/>
      </c>
      <c r="M223" s="2" t="str">
        <f>IF(J223="","",VLOOKUP(J223,[1]ISO辞書!A:B,2,FALSE))</f>
        <v/>
      </c>
      <c r="N223" s="2" t="str">
        <f>IF(K223="","",VLOOKUP(K223,[1]ISO辞書!A:B,2,FALSE))</f>
        <v/>
      </c>
      <c r="O223" s="2" t="str">
        <f>IF(L223="","",VLOOKUP(L223,[1]ISO辞書!A:B,2,FALSE))</f>
        <v/>
      </c>
      <c r="P223" s="3" t="str">
        <f t="shared" si="3"/>
        <v/>
      </c>
    </row>
    <row r="224" spans="1:16">
      <c r="A224" s="2" t="str">
        <f>IF(C224="","",VLOOKUP(C224,[1]ISO辞書!A:C,2,FALSE))</f>
        <v/>
      </c>
      <c r="B224" s="3" t="str">
        <f>IF(C224="","",VLOOKUP(C224,[1]ISO辞書!A:C,3,FALSE))</f>
        <v/>
      </c>
      <c r="M224" s="2" t="str">
        <f>IF(J224="","",VLOOKUP(J224,[1]ISO辞書!A:B,2,FALSE))</f>
        <v/>
      </c>
      <c r="N224" s="2" t="str">
        <f>IF(K224="","",VLOOKUP(K224,[1]ISO辞書!A:B,2,FALSE))</f>
        <v/>
      </c>
      <c r="O224" s="2" t="str">
        <f>IF(L224="","",VLOOKUP(L224,[1]ISO辞書!A:B,2,FALSE))</f>
        <v/>
      </c>
      <c r="P224" s="3" t="str">
        <f t="shared" si="3"/>
        <v/>
      </c>
    </row>
    <row r="225" spans="1:16">
      <c r="A225" s="2" t="str">
        <f>IF(C225="","",VLOOKUP(C225,[1]ISO辞書!A:C,2,FALSE))</f>
        <v/>
      </c>
      <c r="B225" s="3" t="str">
        <f>IF(C225="","",VLOOKUP(C225,[1]ISO辞書!A:C,3,FALSE))</f>
        <v/>
      </c>
      <c r="M225" s="2" t="str">
        <f>IF(J225="","",VLOOKUP(J225,[1]ISO辞書!A:B,2,FALSE))</f>
        <v/>
      </c>
      <c r="N225" s="2" t="str">
        <f>IF(K225="","",VLOOKUP(K225,[1]ISO辞書!A:B,2,FALSE))</f>
        <v/>
      </c>
      <c r="O225" s="2" t="str">
        <f>IF(L225="","",VLOOKUP(L225,[1]ISO辞書!A:B,2,FALSE))</f>
        <v/>
      </c>
      <c r="P225" s="3" t="str">
        <f t="shared" si="3"/>
        <v/>
      </c>
    </row>
    <row r="226" spans="1:16">
      <c r="A226" s="2" t="str">
        <f>IF(C226="","",VLOOKUP(C226,[1]ISO辞書!A:C,2,FALSE))</f>
        <v/>
      </c>
      <c r="B226" s="3" t="str">
        <f>IF(C226="","",VLOOKUP(C226,[1]ISO辞書!A:C,3,FALSE))</f>
        <v/>
      </c>
      <c r="M226" s="2" t="str">
        <f>IF(J226="","",VLOOKUP(J226,[1]ISO辞書!A:B,2,FALSE))</f>
        <v/>
      </c>
      <c r="N226" s="2" t="str">
        <f>IF(K226="","",VLOOKUP(K226,[1]ISO辞書!A:B,2,FALSE))</f>
        <v/>
      </c>
      <c r="O226" s="2" t="str">
        <f>IF(L226="","",VLOOKUP(L226,[1]ISO辞書!A:B,2,FALSE))</f>
        <v/>
      </c>
      <c r="P226" s="3" t="str">
        <f t="shared" si="3"/>
        <v/>
      </c>
    </row>
    <row r="227" spans="1:16">
      <c r="A227" s="2" t="str">
        <f>IF(C227="","",VLOOKUP(C227,[1]ISO辞書!A:C,2,FALSE))</f>
        <v/>
      </c>
      <c r="B227" s="3" t="str">
        <f>IF(C227="","",VLOOKUP(C227,[1]ISO辞書!A:C,3,FALSE))</f>
        <v/>
      </c>
      <c r="M227" s="2" t="str">
        <f>IF(J227="","",VLOOKUP(J227,[1]ISO辞書!A:B,2,FALSE))</f>
        <v/>
      </c>
      <c r="N227" s="2" t="str">
        <f>IF(K227="","",VLOOKUP(K227,[1]ISO辞書!A:B,2,FALSE))</f>
        <v/>
      </c>
      <c r="O227" s="2" t="str">
        <f>IF(L227="","",VLOOKUP(L227,[1]ISO辞書!A:B,2,FALSE))</f>
        <v/>
      </c>
      <c r="P227" s="3" t="str">
        <f t="shared" si="3"/>
        <v/>
      </c>
    </row>
    <row r="228" spans="1:16">
      <c r="A228" s="2" t="str">
        <f>IF(C228="","",VLOOKUP(C228,[1]ISO辞書!A:C,2,FALSE))</f>
        <v/>
      </c>
      <c r="B228" s="3" t="str">
        <f>IF(C228="","",VLOOKUP(C228,[1]ISO辞書!A:C,3,FALSE))</f>
        <v/>
      </c>
      <c r="M228" s="2" t="str">
        <f>IF(J228="","",VLOOKUP(J228,[1]ISO辞書!A:B,2,FALSE))</f>
        <v/>
      </c>
      <c r="N228" s="2" t="str">
        <f>IF(K228="","",VLOOKUP(K228,[1]ISO辞書!A:B,2,FALSE))</f>
        <v/>
      </c>
      <c r="O228" s="2" t="str">
        <f>IF(L228="","",VLOOKUP(L228,[1]ISO辞書!A:B,2,FALSE))</f>
        <v/>
      </c>
      <c r="P228" s="3" t="str">
        <f t="shared" si="3"/>
        <v/>
      </c>
    </row>
    <row r="229" spans="1:16">
      <c r="A229" s="2" t="str">
        <f>IF(C229="","",VLOOKUP(C229,[1]ISO辞書!A:C,2,FALSE))</f>
        <v/>
      </c>
      <c r="B229" s="3" t="str">
        <f>IF(C229="","",VLOOKUP(C229,[1]ISO辞書!A:C,3,FALSE))</f>
        <v/>
      </c>
      <c r="M229" s="2" t="str">
        <f>IF(J229="","",VLOOKUP(J229,[1]ISO辞書!A:B,2,FALSE))</f>
        <v/>
      </c>
      <c r="N229" s="2" t="str">
        <f>IF(K229="","",VLOOKUP(K229,[1]ISO辞書!A:B,2,FALSE))</f>
        <v/>
      </c>
      <c r="O229" s="2" t="str">
        <f>IF(L229="","",VLOOKUP(L229,[1]ISO辞書!A:B,2,FALSE))</f>
        <v/>
      </c>
      <c r="P229" s="3" t="str">
        <f t="shared" si="3"/>
        <v/>
      </c>
    </row>
    <row r="230" spans="1:16">
      <c r="A230" s="2" t="str">
        <f>IF(C230="","",VLOOKUP(C230,[1]ISO辞書!A:C,2,FALSE))</f>
        <v/>
      </c>
      <c r="B230" s="3" t="str">
        <f>IF(C230="","",VLOOKUP(C230,[1]ISO辞書!A:C,3,FALSE))</f>
        <v/>
      </c>
      <c r="M230" s="2" t="str">
        <f>IF(J230="","",VLOOKUP(J230,[1]ISO辞書!A:B,2,FALSE))</f>
        <v/>
      </c>
      <c r="N230" s="2" t="str">
        <f>IF(K230="","",VLOOKUP(K230,[1]ISO辞書!A:B,2,FALSE))</f>
        <v/>
      </c>
      <c r="O230" s="2" t="str">
        <f>IF(L230="","",VLOOKUP(L230,[1]ISO辞書!A:B,2,FALSE))</f>
        <v/>
      </c>
      <c r="P230" s="3" t="str">
        <f t="shared" si="3"/>
        <v/>
      </c>
    </row>
    <row r="231" spans="1:16">
      <c r="A231" s="2" t="str">
        <f>IF(C231="","",VLOOKUP(C231,[1]ISO辞書!A:C,2,FALSE))</f>
        <v/>
      </c>
      <c r="B231" s="3" t="str">
        <f>IF(C231="","",VLOOKUP(C231,[1]ISO辞書!A:C,3,FALSE))</f>
        <v/>
      </c>
      <c r="M231" s="2" t="str">
        <f>IF(J231="","",VLOOKUP(J231,[1]ISO辞書!A:B,2,FALSE))</f>
        <v/>
      </c>
      <c r="N231" s="2" t="str">
        <f>IF(K231="","",VLOOKUP(K231,[1]ISO辞書!A:B,2,FALSE))</f>
        <v/>
      </c>
      <c r="O231" s="2" t="str">
        <f>IF(L231="","",VLOOKUP(L231,[1]ISO辞書!A:B,2,FALSE))</f>
        <v/>
      </c>
      <c r="P231" s="3" t="str">
        <f t="shared" si="3"/>
        <v/>
      </c>
    </row>
    <row r="232" spans="1:16">
      <c r="A232" s="2" t="str">
        <f>IF(C232="","",VLOOKUP(C232,[1]ISO辞書!A:C,2,FALSE))</f>
        <v/>
      </c>
      <c r="B232" s="3" t="str">
        <f>IF(C232="","",VLOOKUP(C232,[1]ISO辞書!A:C,3,FALSE))</f>
        <v/>
      </c>
      <c r="M232" s="2" t="str">
        <f>IF(J232="","",VLOOKUP(J232,[1]ISO辞書!A:B,2,FALSE))</f>
        <v/>
      </c>
      <c r="N232" s="2" t="str">
        <f>IF(K232="","",VLOOKUP(K232,[1]ISO辞書!A:B,2,FALSE))</f>
        <v/>
      </c>
      <c r="O232" s="2" t="str">
        <f>IF(L232="","",VLOOKUP(L232,[1]ISO辞書!A:B,2,FALSE))</f>
        <v/>
      </c>
      <c r="P232" s="3" t="str">
        <f t="shared" si="3"/>
        <v/>
      </c>
    </row>
    <row r="233" spans="1:16">
      <c r="A233" s="2" t="str">
        <f>IF(C233="","",VLOOKUP(C233,[1]ISO辞書!A:C,2,FALSE))</f>
        <v/>
      </c>
      <c r="B233" s="3" t="str">
        <f>IF(C233="","",VLOOKUP(C233,[1]ISO辞書!A:C,3,FALSE))</f>
        <v/>
      </c>
      <c r="M233" s="2" t="str">
        <f>IF(J233="","",VLOOKUP(J233,[1]ISO辞書!A:B,2,FALSE))</f>
        <v/>
      </c>
      <c r="N233" s="2" t="str">
        <f>IF(K233="","",VLOOKUP(K233,[1]ISO辞書!A:B,2,FALSE))</f>
        <v/>
      </c>
      <c r="O233" s="2" t="str">
        <f>IF(L233="","",VLOOKUP(L233,[1]ISO辞書!A:B,2,FALSE))</f>
        <v/>
      </c>
      <c r="P233" s="3" t="str">
        <f t="shared" si="3"/>
        <v/>
      </c>
    </row>
    <row r="234" spans="1:16">
      <c r="A234" s="2" t="str">
        <f>IF(C234="","",VLOOKUP(C234,[1]ISO辞書!A:C,2,FALSE))</f>
        <v/>
      </c>
      <c r="B234" s="3" t="str">
        <f>IF(C234="","",VLOOKUP(C234,[1]ISO辞書!A:C,3,FALSE))</f>
        <v/>
      </c>
      <c r="M234" s="2" t="str">
        <f>IF(J234="","",VLOOKUP(J234,[1]ISO辞書!A:B,2,FALSE))</f>
        <v/>
      </c>
      <c r="N234" s="2" t="str">
        <f>IF(K234="","",VLOOKUP(K234,[1]ISO辞書!A:B,2,FALSE))</f>
        <v/>
      </c>
      <c r="O234" s="2" t="str">
        <f>IF(L234="","",VLOOKUP(L234,[1]ISO辞書!A:B,2,FALSE))</f>
        <v/>
      </c>
      <c r="P234" s="3" t="str">
        <f t="shared" si="3"/>
        <v/>
      </c>
    </row>
    <row r="235" spans="1:16">
      <c r="A235" s="2" t="str">
        <f>IF(C235="","",VLOOKUP(C235,[1]ISO辞書!A:C,2,FALSE))</f>
        <v/>
      </c>
      <c r="B235" s="3" t="str">
        <f>IF(C235="","",VLOOKUP(C235,[1]ISO辞書!A:C,3,FALSE))</f>
        <v/>
      </c>
      <c r="M235" s="2" t="str">
        <f>IF(J235="","",VLOOKUP(J235,[1]ISO辞書!A:B,2,FALSE))</f>
        <v/>
      </c>
      <c r="N235" s="2" t="str">
        <f>IF(K235="","",VLOOKUP(K235,[1]ISO辞書!A:B,2,FALSE))</f>
        <v/>
      </c>
      <c r="O235" s="2" t="str">
        <f>IF(L235="","",VLOOKUP(L235,[1]ISO辞書!A:B,2,FALSE))</f>
        <v/>
      </c>
      <c r="P235" s="3" t="str">
        <f t="shared" si="3"/>
        <v/>
      </c>
    </row>
    <row r="236" spans="1:16">
      <c r="A236" s="2" t="str">
        <f>IF(C236="","",VLOOKUP(C236,[1]ISO辞書!A:C,2,FALSE))</f>
        <v/>
      </c>
      <c r="B236" s="3" t="str">
        <f>IF(C236="","",VLOOKUP(C236,[1]ISO辞書!A:C,3,FALSE))</f>
        <v/>
      </c>
      <c r="M236" s="2" t="str">
        <f>IF(J236="","",VLOOKUP(J236,[1]ISO辞書!A:B,2,FALSE))</f>
        <v/>
      </c>
      <c r="N236" s="2" t="str">
        <f>IF(K236="","",VLOOKUP(K236,[1]ISO辞書!A:B,2,FALSE))</f>
        <v/>
      </c>
      <c r="O236" s="2" t="str">
        <f>IF(L236="","",VLOOKUP(L236,[1]ISO辞書!A:B,2,FALSE))</f>
        <v/>
      </c>
      <c r="P236" s="3" t="str">
        <f t="shared" si="3"/>
        <v/>
      </c>
    </row>
    <row r="237" spans="1:16">
      <c r="A237" s="2" t="str">
        <f>IF(C237="","",VLOOKUP(C237,[1]ISO辞書!A:C,2,FALSE))</f>
        <v/>
      </c>
      <c r="B237" s="3" t="str">
        <f>IF(C237="","",VLOOKUP(C237,[1]ISO辞書!A:C,3,FALSE))</f>
        <v/>
      </c>
      <c r="M237" s="2" t="str">
        <f>IF(J237="","",VLOOKUP(J237,[1]ISO辞書!A:B,2,FALSE))</f>
        <v/>
      </c>
      <c r="N237" s="2" t="str">
        <f>IF(K237="","",VLOOKUP(K237,[1]ISO辞書!A:B,2,FALSE))</f>
        <v/>
      </c>
      <c r="O237" s="2" t="str">
        <f>IF(L237="","",VLOOKUP(L237,[1]ISO辞書!A:B,2,FALSE))</f>
        <v/>
      </c>
      <c r="P237" s="3" t="str">
        <f t="shared" si="3"/>
        <v/>
      </c>
    </row>
    <row r="238" spans="1:16">
      <c r="A238" s="2" t="str">
        <f>IF(C238="","",VLOOKUP(C238,[1]ISO辞書!A:C,2,FALSE))</f>
        <v/>
      </c>
      <c r="B238" s="3" t="str">
        <f>IF(C238="","",VLOOKUP(C238,[1]ISO辞書!A:C,3,FALSE))</f>
        <v/>
      </c>
      <c r="M238" s="2" t="str">
        <f>IF(J238="","",VLOOKUP(J238,[1]ISO辞書!A:B,2,FALSE))</f>
        <v/>
      </c>
      <c r="N238" s="2" t="str">
        <f>IF(K238="","",VLOOKUP(K238,[1]ISO辞書!A:B,2,FALSE))</f>
        <v/>
      </c>
      <c r="O238" s="2" t="str">
        <f>IF(L238="","",VLOOKUP(L238,[1]ISO辞書!A:B,2,FALSE))</f>
        <v/>
      </c>
      <c r="P238" s="3" t="str">
        <f t="shared" si="3"/>
        <v/>
      </c>
    </row>
    <row r="239" spans="1:16">
      <c r="A239" s="2" t="str">
        <f>IF(C239="","",VLOOKUP(C239,[1]ISO辞書!A:C,2,FALSE))</f>
        <v/>
      </c>
      <c r="B239" s="3" t="str">
        <f>IF(C239="","",VLOOKUP(C239,[1]ISO辞書!A:C,3,FALSE))</f>
        <v/>
      </c>
      <c r="M239" s="2" t="str">
        <f>IF(J239="","",VLOOKUP(J239,[1]ISO辞書!A:B,2,FALSE))</f>
        <v/>
      </c>
      <c r="N239" s="2" t="str">
        <f>IF(K239="","",VLOOKUP(K239,[1]ISO辞書!A:B,2,FALSE))</f>
        <v/>
      </c>
      <c r="O239" s="2" t="str">
        <f>IF(L239="","",VLOOKUP(L239,[1]ISO辞書!A:B,2,FALSE))</f>
        <v/>
      </c>
      <c r="P239" s="3" t="str">
        <f t="shared" si="3"/>
        <v/>
      </c>
    </row>
    <row r="240" spans="1:16">
      <c r="A240" s="2" t="str">
        <f>IF(C240="","",VLOOKUP(C240,[1]ISO辞書!A:C,2,FALSE))</f>
        <v/>
      </c>
      <c r="B240" s="3" t="str">
        <f>IF(C240="","",VLOOKUP(C240,[1]ISO辞書!A:C,3,FALSE))</f>
        <v/>
      </c>
      <c r="M240" s="2" t="str">
        <f>IF(J240="","",VLOOKUP(J240,[1]ISO辞書!A:B,2,FALSE))</f>
        <v/>
      </c>
      <c r="N240" s="2" t="str">
        <f>IF(K240="","",VLOOKUP(K240,[1]ISO辞書!A:B,2,FALSE))</f>
        <v/>
      </c>
      <c r="O240" s="2" t="str">
        <f>IF(L240="","",VLOOKUP(L240,[1]ISO辞書!A:B,2,FALSE))</f>
        <v/>
      </c>
      <c r="P240" s="3" t="str">
        <f t="shared" si="3"/>
        <v/>
      </c>
    </row>
    <row r="241" spans="1:16">
      <c r="A241" s="2" t="str">
        <f>IF(C241="","",VLOOKUP(C241,[1]ISO辞書!A:C,2,FALSE))</f>
        <v/>
      </c>
      <c r="B241" s="3" t="str">
        <f>IF(C241="","",VLOOKUP(C241,[1]ISO辞書!A:C,3,FALSE))</f>
        <v/>
      </c>
      <c r="M241" s="2" t="str">
        <f>IF(J241="","",VLOOKUP(J241,[1]ISO辞書!A:B,2,FALSE))</f>
        <v/>
      </c>
      <c r="N241" s="2" t="str">
        <f>IF(K241="","",VLOOKUP(K241,[1]ISO辞書!A:B,2,FALSE))</f>
        <v/>
      </c>
      <c r="O241" s="2" t="str">
        <f>IF(L241="","",VLOOKUP(L241,[1]ISO辞書!A:B,2,FALSE))</f>
        <v/>
      </c>
      <c r="P241" s="3" t="str">
        <f t="shared" si="3"/>
        <v/>
      </c>
    </row>
    <row r="242" spans="1:16">
      <c r="A242" s="2" t="str">
        <f>IF(C242="","",VLOOKUP(C242,[1]ISO辞書!A:C,2,FALSE))</f>
        <v/>
      </c>
      <c r="B242" s="3" t="str">
        <f>IF(C242="","",VLOOKUP(C242,[1]ISO辞書!A:C,3,FALSE))</f>
        <v/>
      </c>
      <c r="M242" s="2" t="str">
        <f>IF(J242="","",VLOOKUP(J242,[1]ISO辞書!A:B,2,FALSE))</f>
        <v/>
      </c>
      <c r="N242" s="2" t="str">
        <f>IF(K242="","",VLOOKUP(K242,[1]ISO辞書!A:B,2,FALSE))</f>
        <v/>
      </c>
      <c r="O242" s="2" t="str">
        <f>IF(L242="","",VLOOKUP(L242,[1]ISO辞書!A:B,2,FALSE))</f>
        <v/>
      </c>
      <c r="P242" s="3" t="str">
        <f t="shared" si="3"/>
        <v/>
      </c>
    </row>
    <row r="243" spans="1:16">
      <c r="A243" s="2" t="str">
        <f>IF(C243="","",VLOOKUP(C243,[1]ISO辞書!A:C,2,FALSE))</f>
        <v/>
      </c>
      <c r="B243" s="3" t="str">
        <f>IF(C243="","",VLOOKUP(C243,[1]ISO辞書!A:C,3,FALSE))</f>
        <v/>
      </c>
      <c r="M243" s="2" t="str">
        <f>IF(J243="","",VLOOKUP(J243,[1]ISO辞書!A:B,2,FALSE))</f>
        <v/>
      </c>
      <c r="N243" s="2" t="str">
        <f>IF(K243="","",VLOOKUP(K243,[1]ISO辞書!A:B,2,FALSE))</f>
        <v/>
      </c>
      <c r="O243" s="2" t="str">
        <f>IF(L243="","",VLOOKUP(L243,[1]ISO辞書!A:B,2,FALSE))</f>
        <v/>
      </c>
      <c r="P243" s="3" t="str">
        <f t="shared" si="3"/>
        <v/>
      </c>
    </row>
    <row r="244" spans="1:16">
      <c r="A244" s="2" t="str">
        <f>IF(C244="","",VLOOKUP(C244,[1]ISO辞書!A:C,2,FALSE))</f>
        <v/>
      </c>
      <c r="B244" s="3" t="str">
        <f>IF(C244="","",VLOOKUP(C244,[1]ISO辞書!A:C,3,FALSE))</f>
        <v/>
      </c>
      <c r="M244" s="2" t="str">
        <f>IF(J244="","",VLOOKUP(J244,[1]ISO辞書!A:B,2,FALSE))</f>
        <v/>
      </c>
      <c r="N244" s="2" t="str">
        <f>IF(K244="","",VLOOKUP(K244,[1]ISO辞書!A:B,2,FALSE))</f>
        <v/>
      </c>
      <c r="O244" s="2" t="str">
        <f>IF(L244="","",VLOOKUP(L244,[1]ISO辞書!A:B,2,FALSE))</f>
        <v/>
      </c>
      <c r="P244" s="3" t="str">
        <f t="shared" si="3"/>
        <v/>
      </c>
    </row>
    <row r="245" spans="1:16">
      <c r="A245" s="2" t="str">
        <f>IF(C245="","",VLOOKUP(C245,[1]ISO辞書!A:C,2,FALSE))</f>
        <v/>
      </c>
      <c r="B245" s="3" t="str">
        <f>IF(C245="","",VLOOKUP(C245,[1]ISO辞書!A:C,3,FALSE))</f>
        <v/>
      </c>
      <c r="M245" s="2" t="str">
        <f>IF(J245="","",VLOOKUP(J245,[1]ISO辞書!A:B,2,FALSE))</f>
        <v/>
      </c>
      <c r="N245" s="2" t="str">
        <f>IF(K245="","",VLOOKUP(K245,[1]ISO辞書!A:B,2,FALSE))</f>
        <v/>
      </c>
      <c r="O245" s="2" t="str">
        <f>IF(L245="","",VLOOKUP(L245,[1]ISO辞書!A:B,2,FALSE))</f>
        <v/>
      </c>
      <c r="P245" s="3" t="str">
        <f t="shared" si="3"/>
        <v/>
      </c>
    </row>
    <row r="246" spans="1:16">
      <c r="A246" s="2" t="str">
        <f>IF(C246="","",VLOOKUP(C246,[1]ISO辞書!A:C,2,FALSE))</f>
        <v/>
      </c>
      <c r="B246" s="3" t="str">
        <f>IF(C246="","",VLOOKUP(C246,[1]ISO辞書!A:C,3,FALSE))</f>
        <v/>
      </c>
      <c r="M246" s="2" t="str">
        <f>IF(J246="","",VLOOKUP(J246,[1]ISO辞書!A:B,2,FALSE))</f>
        <v/>
      </c>
      <c r="N246" s="2" t="str">
        <f>IF(K246="","",VLOOKUP(K246,[1]ISO辞書!A:B,2,FALSE))</f>
        <v/>
      </c>
      <c r="O246" s="2" t="str">
        <f>IF(L246="","",VLOOKUP(L246,[1]ISO辞書!A:B,2,FALSE))</f>
        <v/>
      </c>
      <c r="P246" s="3" t="str">
        <f t="shared" si="3"/>
        <v/>
      </c>
    </row>
    <row r="247" spans="1:16">
      <c r="A247" s="2" t="str">
        <f>IF(C247="","",VLOOKUP(C247,[1]ISO辞書!A:C,2,FALSE))</f>
        <v/>
      </c>
      <c r="B247" s="3" t="str">
        <f>IF(C247="","",VLOOKUP(C247,[1]ISO辞書!A:C,3,FALSE))</f>
        <v/>
      </c>
      <c r="M247" s="2" t="str">
        <f>IF(J247="","",VLOOKUP(J247,[1]ISO辞書!A:B,2,FALSE))</f>
        <v/>
      </c>
      <c r="N247" s="2" t="str">
        <f>IF(K247="","",VLOOKUP(K247,[1]ISO辞書!A:B,2,FALSE))</f>
        <v/>
      </c>
      <c r="O247" s="2" t="str">
        <f>IF(L247="","",VLOOKUP(L247,[1]ISO辞書!A:B,2,FALSE))</f>
        <v/>
      </c>
      <c r="P247" s="3" t="str">
        <f t="shared" si="3"/>
        <v/>
      </c>
    </row>
    <row r="248" spans="1:16">
      <c r="A248" s="2" t="str">
        <f>IF(C248="","",VLOOKUP(C248,[1]ISO辞書!A:C,2,FALSE))</f>
        <v/>
      </c>
      <c r="B248" s="3" t="str">
        <f>IF(C248="","",VLOOKUP(C248,[1]ISO辞書!A:C,3,FALSE))</f>
        <v/>
      </c>
      <c r="M248" s="2" t="str">
        <f>IF(J248="","",VLOOKUP(J248,[1]ISO辞書!A:B,2,FALSE))</f>
        <v/>
      </c>
      <c r="N248" s="2" t="str">
        <f>IF(K248="","",VLOOKUP(K248,[1]ISO辞書!A:B,2,FALSE))</f>
        <v/>
      </c>
      <c r="O248" s="2" t="str">
        <f>IF(L248="","",VLOOKUP(L248,[1]ISO辞書!A:B,2,FALSE))</f>
        <v/>
      </c>
      <c r="P248" s="3" t="str">
        <f t="shared" si="3"/>
        <v/>
      </c>
    </row>
    <row r="249" spans="1:16">
      <c r="A249" s="2" t="str">
        <f>IF(C249="","",VLOOKUP(C249,[1]ISO辞書!A:C,2,FALSE))</f>
        <v/>
      </c>
      <c r="B249" s="3" t="str">
        <f>IF(C249="","",VLOOKUP(C249,[1]ISO辞書!A:C,3,FALSE))</f>
        <v/>
      </c>
      <c r="M249" s="2" t="str">
        <f>IF(J249="","",VLOOKUP(J249,[1]ISO辞書!A:B,2,FALSE))</f>
        <v/>
      </c>
      <c r="N249" s="2" t="str">
        <f>IF(K249="","",VLOOKUP(K249,[1]ISO辞書!A:B,2,FALSE))</f>
        <v/>
      </c>
      <c r="O249" s="2" t="str">
        <f>IF(L249="","",VLOOKUP(L249,[1]ISO辞書!A:B,2,FALSE))</f>
        <v/>
      </c>
      <c r="P249" s="3" t="str">
        <f t="shared" si="3"/>
        <v/>
      </c>
    </row>
    <row r="250" spans="1:16">
      <c r="A250" s="2" t="str">
        <f>IF(C250="","",VLOOKUP(C250,[1]ISO辞書!A:C,2,FALSE))</f>
        <v/>
      </c>
      <c r="B250" s="3" t="str">
        <f>IF(C250="","",VLOOKUP(C250,[1]ISO辞書!A:C,3,FALSE))</f>
        <v/>
      </c>
      <c r="M250" s="2" t="str">
        <f>IF(J250="","",VLOOKUP(J250,[1]ISO辞書!A:B,2,FALSE))</f>
        <v/>
      </c>
      <c r="N250" s="2" t="str">
        <f>IF(K250="","",VLOOKUP(K250,[1]ISO辞書!A:B,2,FALSE))</f>
        <v/>
      </c>
      <c r="O250" s="2" t="str">
        <f>IF(L250="","",VLOOKUP(L250,[1]ISO辞書!A:B,2,FALSE))</f>
        <v/>
      </c>
      <c r="P250" s="3" t="str">
        <f t="shared" si="3"/>
        <v/>
      </c>
    </row>
    <row r="251" spans="1:16">
      <c r="A251" s="2" t="str">
        <f>IF(C251="","",VLOOKUP(C251,[1]ISO辞書!A:C,2,FALSE))</f>
        <v/>
      </c>
      <c r="B251" s="3" t="str">
        <f>IF(C251="","",VLOOKUP(C251,[1]ISO辞書!A:C,3,FALSE))</f>
        <v/>
      </c>
      <c r="M251" s="2" t="str">
        <f>IF(J251="","",VLOOKUP(J251,[1]ISO辞書!A:B,2,FALSE))</f>
        <v/>
      </c>
      <c r="N251" s="2" t="str">
        <f>IF(K251="","",VLOOKUP(K251,[1]ISO辞書!A:B,2,FALSE))</f>
        <v/>
      </c>
      <c r="O251" s="2" t="str">
        <f>IF(L251="","",VLOOKUP(L251,[1]ISO辞書!A:B,2,FALSE))</f>
        <v/>
      </c>
      <c r="P251" s="3" t="str">
        <f t="shared" si="3"/>
        <v/>
      </c>
    </row>
    <row r="252" spans="1:16">
      <c r="A252" s="2" t="str">
        <f>IF(C252="","",VLOOKUP(C252,[1]ISO辞書!A:C,2,FALSE))</f>
        <v/>
      </c>
      <c r="B252" s="3" t="str">
        <f>IF(C252="","",VLOOKUP(C252,[1]ISO辞書!A:C,3,FALSE))</f>
        <v/>
      </c>
      <c r="M252" s="2" t="str">
        <f>IF(J252="","",VLOOKUP(J252,[1]ISO辞書!A:B,2,FALSE))</f>
        <v/>
      </c>
      <c r="N252" s="2" t="str">
        <f>IF(K252="","",VLOOKUP(K252,[1]ISO辞書!A:B,2,FALSE))</f>
        <v/>
      </c>
      <c r="O252" s="2" t="str">
        <f>IF(L252="","",VLOOKUP(L252,[1]ISO辞書!A:B,2,FALSE))</f>
        <v/>
      </c>
      <c r="P252" s="3" t="str">
        <f t="shared" si="3"/>
        <v/>
      </c>
    </row>
    <row r="253" spans="1:16">
      <c r="A253" s="2" t="str">
        <f>IF(C253="","",VLOOKUP(C253,[1]ISO辞書!A:C,2,FALSE))</f>
        <v/>
      </c>
      <c r="B253" s="3" t="str">
        <f>IF(C253="","",VLOOKUP(C253,[1]ISO辞書!A:C,3,FALSE))</f>
        <v/>
      </c>
      <c r="M253" s="2" t="str">
        <f>IF(J253="","",VLOOKUP(J253,[1]ISO辞書!A:B,2,FALSE))</f>
        <v/>
      </c>
      <c r="N253" s="2" t="str">
        <f>IF(K253="","",VLOOKUP(K253,[1]ISO辞書!A:B,2,FALSE))</f>
        <v/>
      </c>
      <c r="O253" s="2" t="str">
        <f>IF(L253="","",VLOOKUP(L253,[1]ISO辞書!A:B,2,FALSE))</f>
        <v/>
      </c>
      <c r="P253" s="3" t="str">
        <f t="shared" si="3"/>
        <v/>
      </c>
    </row>
    <row r="254" spans="1:16">
      <c r="A254" s="2" t="str">
        <f>IF(C254="","",VLOOKUP(C254,[1]ISO辞書!A:C,2,FALSE))</f>
        <v/>
      </c>
      <c r="B254" s="3" t="str">
        <f>IF(C254="","",VLOOKUP(C254,[1]ISO辞書!A:C,3,FALSE))</f>
        <v/>
      </c>
      <c r="M254" s="2" t="str">
        <f>IF(J254="","",VLOOKUP(J254,[1]ISO辞書!A:B,2,FALSE))</f>
        <v/>
      </c>
      <c r="N254" s="2" t="str">
        <f>IF(K254="","",VLOOKUP(K254,[1]ISO辞書!A:B,2,FALSE))</f>
        <v/>
      </c>
      <c r="O254" s="2" t="str">
        <f>IF(L254="","",VLOOKUP(L254,[1]ISO辞書!A:B,2,FALSE))</f>
        <v/>
      </c>
      <c r="P254" s="3" t="str">
        <f t="shared" si="3"/>
        <v/>
      </c>
    </row>
    <row r="255" spans="1:16">
      <c r="A255" s="2" t="str">
        <f>IF(C255="","",VLOOKUP(C255,[1]ISO辞書!A:C,2,FALSE))</f>
        <v/>
      </c>
      <c r="B255" s="3" t="str">
        <f>IF(C255="","",VLOOKUP(C255,[1]ISO辞書!A:C,3,FALSE))</f>
        <v/>
      </c>
      <c r="M255" s="2" t="str">
        <f>IF(J255="","",VLOOKUP(J255,[1]ISO辞書!A:B,2,FALSE))</f>
        <v/>
      </c>
      <c r="N255" s="2" t="str">
        <f>IF(K255="","",VLOOKUP(K255,[1]ISO辞書!A:B,2,FALSE))</f>
        <v/>
      </c>
      <c r="O255" s="2" t="str">
        <f>IF(L255="","",VLOOKUP(L255,[1]ISO辞書!A:B,2,FALSE))</f>
        <v/>
      </c>
      <c r="P255" s="3" t="str">
        <f t="shared" si="3"/>
        <v/>
      </c>
    </row>
    <row r="256" spans="1:16">
      <c r="A256" s="2" t="str">
        <f>IF(C256="","",VLOOKUP(C256,[1]ISO辞書!A:C,2,FALSE))</f>
        <v/>
      </c>
      <c r="B256" s="3" t="str">
        <f>IF(C256="","",VLOOKUP(C256,[1]ISO辞書!A:C,3,FALSE))</f>
        <v/>
      </c>
      <c r="M256" s="2" t="str">
        <f>IF(J256="","",VLOOKUP(J256,[1]ISO辞書!A:B,2,FALSE))</f>
        <v/>
      </c>
      <c r="N256" s="2" t="str">
        <f>IF(K256="","",VLOOKUP(K256,[1]ISO辞書!A:B,2,FALSE))</f>
        <v/>
      </c>
      <c r="O256" s="2" t="str">
        <f>IF(L256="","",VLOOKUP(L256,[1]ISO辞書!A:B,2,FALSE))</f>
        <v/>
      </c>
      <c r="P256" s="3" t="str">
        <f t="shared" si="3"/>
        <v/>
      </c>
    </row>
    <row r="257" spans="1:16">
      <c r="A257" s="2" t="str">
        <f>IF(C257="","",VLOOKUP(C257,[1]ISO辞書!A:C,2,FALSE))</f>
        <v/>
      </c>
      <c r="B257" s="3" t="str">
        <f>IF(C257="","",VLOOKUP(C257,[1]ISO辞書!A:C,3,FALSE))</f>
        <v/>
      </c>
      <c r="M257" s="2" t="str">
        <f>IF(J257="","",VLOOKUP(J257,[1]ISO辞書!A:B,2,FALSE))</f>
        <v/>
      </c>
      <c r="N257" s="2" t="str">
        <f>IF(K257="","",VLOOKUP(K257,[1]ISO辞書!A:B,2,FALSE))</f>
        <v/>
      </c>
      <c r="O257" s="2" t="str">
        <f>IF(L257="","",VLOOKUP(L257,[1]ISO辞書!A:B,2,FALSE))</f>
        <v/>
      </c>
      <c r="P257" s="3" t="str">
        <f t="shared" si="3"/>
        <v/>
      </c>
    </row>
    <row r="258" spans="1:16">
      <c r="A258" s="2" t="str">
        <f>IF(C258="","",VLOOKUP(C258,[1]ISO辞書!A:C,2,FALSE))</f>
        <v/>
      </c>
      <c r="B258" s="3" t="str">
        <f>IF(C258="","",VLOOKUP(C258,[1]ISO辞書!A:C,3,FALSE))</f>
        <v/>
      </c>
      <c r="M258" s="2" t="str">
        <f>IF(J258="","",VLOOKUP(J258,[1]ISO辞書!A:B,2,FALSE))</f>
        <v/>
      </c>
      <c r="N258" s="2" t="str">
        <f>IF(K258="","",VLOOKUP(K258,[1]ISO辞書!A:B,2,FALSE))</f>
        <v/>
      </c>
      <c r="O258" s="2" t="str">
        <f>IF(L258="","",VLOOKUP(L258,[1]ISO辞書!A:B,2,FALSE))</f>
        <v/>
      </c>
      <c r="P258" s="3" t="str">
        <f t="shared" ref="P258:P321" si="4">_xlfn.TEXTJOIN(";",TRUE,M258:O258)</f>
        <v/>
      </c>
    </row>
    <row r="259" spans="1:16">
      <c r="A259" s="2" t="str">
        <f>IF(C259="","",VLOOKUP(C259,[1]ISO辞書!A:C,2,FALSE))</f>
        <v/>
      </c>
      <c r="B259" s="3" t="str">
        <f>IF(C259="","",VLOOKUP(C259,[1]ISO辞書!A:C,3,FALSE))</f>
        <v/>
      </c>
      <c r="M259" s="2" t="str">
        <f>IF(J259="","",VLOOKUP(J259,[1]ISO辞書!A:B,2,FALSE))</f>
        <v/>
      </c>
      <c r="N259" s="2" t="str">
        <f>IF(K259="","",VLOOKUP(K259,[1]ISO辞書!A:B,2,FALSE))</f>
        <v/>
      </c>
      <c r="O259" s="2" t="str">
        <f>IF(L259="","",VLOOKUP(L259,[1]ISO辞書!A:B,2,FALSE))</f>
        <v/>
      </c>
      <c r="P259" s="3" t="str">
        <f t="shared" si="4"/>
        <v/>
      </c>
    </row>
    <row r="260" spans="1:16">
      <c r="A260" s="2" t="str">
        <f>IF(C260="","",VLOOKUP(C260,[1]ISO辞書!A:C,2,FALSE))</f>
        <v/>
      </c>
      <c r="B260" s="3" t="str">
        <f>IF(C260="","",VLOOKUP(C260,[1]ISO辞書!A:C,3,FALSE))</f>
        <v/>
      </c>
      <c r="M260" s="2" t="str">
        <f>IF(J260="","",VLOOKUP(J260,[1]ISO辞書!A:B,2,FALSE))</f>
        <v/>
      </c>
      <c r="N260" s="2" t="str">
        <f>IF(K260="","",VLOOKUP(K260,[1]ISO辞書!A:B,2,FALSE))</f>
        <v/>
      </c>
      <c r="O260" s="2" t="str">
        <f>IF(L260="","",VLOOKUP(L260,[1]ISO辞書!A:B,2,FALSE))</f>
        <v/>
      </c>
      <c r="P260" s="3" t="str">
        <f t="shared" si="4"/>
        <v/>
      </c>
    </row>
    <row r="261" spans="1:16">
      <c r="A261" s="2" t="str">
        <f>IF(C261="","",VLOOKUP(C261,[1]ISO辞書!A:C,2,FALSE))</f>
        <v/>
      </c>
      <c r="B261" s="3" t="str">
        <f>IF(C261="","",VLOOKUP(C261,[1]ISO辞書!A:C,3,FALSE))</f>
        <v/>
      </c>
      <c r="M261" s="2" t="str">
        <f>IF(J261="","",VLOOKUP(J261,[1]ISO辞書!A:B,2,FALSE))</f>
        <v/>
      </c>
      <c r="N261" s="2" t="str">
        <f>IF(K261="","",VLOOKUP(K261,[1]ISO辞書!A:B,2,FALSE))</f>
        <v/>
      </c>
      <c r="O261" s="2" t="str">
        <f>IF(L261="","",VLOOKUP(L261,[1]ISO辞書!A:B,2,FALSE))</f>
        <v/>
      </c>
      <c r="P261" s="3" t="str">
        <f t="shared" si="4"/>
        <v/>
      </c>
    </row>
    <row r="262" spans="1:16">
      <c r="A262" s="2" t="str">
        <f>IF(C262="","",VLOOKUP(C262,[1]ISO辞書!A:C,2,FALSE))</f>
        <v/>
      </c>
      <c r="B262" s="3" t="str">
        <f>IF(C262="","",VLOOKUP(C262,[1]ISO辞書!A:C,3,FALSE))</f>
        <v/>
      </c>
      <c r="M262" s="2" t="str">
        <f>IF(J262="","",VLOOKUP(J262,[1]ISO辞書!A:B,2,FALSE))</f>
        <v/>
      </c>
      <c r="N262" s="2" t="str">
        <f>IF(K262="","",VLOOKUP(K262,[1]ISO辞書!A:B,2,FALSE))</f>
        <v/>
      </c>
      <c r="O262" s="2" t="str">
        <f>IF(L262="","",VLOOKUP(L262,[1]ISO辞書!A:B,2,FALSE))</f>
        <v/>
      </c>
      <c r="P262" s="3" t="str">
        <f t="shared" si="4"/>
        <v/>
      </c>
    </row>
    <row r="263" spans="1:16">
      <c r="A263" s="2" t="str">
        <f>IF(C263="","",VLOOKUP(C263,[1]ISO辞書!A:C,2,FALSE))</f>
        <v/>
      </c>
      <c r="B263" s="3" t="str">
        <f>IF(C263="","",VLOOKUP(C263,[1]ISO辞書!A:C,3,FALSE))</f>
        <v/>
      </c>
      <c r="M263" s="2" t="str">
        <f>IF(J263="","",VLOOKUP(J263,[1]ISO辞書!A:B,2,FALSE))</f>
        <v/>
      </c>
      <c r="N263" s="2" t="str">
        <f>IF(K263="","",VLOOKUP(K263,[1]ISO辞書!A:B,2,FALSE))</f>
        <v/>
      </c>
      <c r="O263" s="2" t="str">
        <f>IF(L263="","",VLOOKUP(L263,[1]ISO辞書!A:B,2,FALSE))</f>
        <v/>
      </c>
      <c r="P263" s="3" t="str">
        <f t="shared" si="4"/>
        <v/>
      </c>
    </row>
    <row r="264" spans="1:16">
      <c r="A264" s="2" t="str">
        <f>IF(C264="","",VLOOKUP(C264,[1]ISO辞書!A:C,2,FALSE))</f>
        <v/>
      </c>
      <c r="B264" s="3" t="str">
        <f>IF(C264="","",VLOOKUP(C264,[1]ISO辞書!A:C,3,FALSE))</f>
        <v/>
      </c>
      <c r="M264" s="2" t="str">
        <f>IF(J264="","",VLOOKUP(J264,[1]ISO辞書!A:B,2,FALSE))</f>
        <v/>
      </c>
      <c r="N264" s="2" t="str">
        <f>IF(K264="","",VLOOKUP(K264,[1]ISO辞書!A:B,2,FALSE))</f>
        <v/>
      </c>
      <c r="O264" s="2" t="str">
        <f>IF(L264="","",VLOOKUP(L264,[1]ISO辞書!A:B,2,FALSE))</f>
        <v/>
      </c>
      <c r="P264" s="3" t="str">
        <f t="shared" si="4"/>
        <v/>
      </c>
    </row>
    <row r="265" spans="1:16">
      <c r="A265" s="2" t="str">
        <f>IF(C265="","",VLOOKUP(C265,[1]ISO辞書!A:C,2,FALSE))</f>
        <v/>
      </c>
      <c r="B265" s="3" t="str">
        <f>IF(C265="","",VLOOKUP(C265,[1]ISO辞書!A:C,3,FALSE))</f>
        <v/>
      </c>
      <c r="M265" s="2" t="str">
        <f>IF(J265="","",VLOOKUP(J265,[1]ISO辞書!A:B,2,FALSE))</f>
        <v/>
      </c>
      <c r="N265" s="2" t="str">
        <f>IF(K265="","",VLOOKUP(K265,[1]ISO辞書!A:B,2,FALSE))</f>
        <v/>
      </c>
      <c r="O265" s="2" t="str">
        <f>IF(L265="","",VLOOKUP(L265,[1]ISO辞書!A:B,2,FALSE))</f>
        <v/>
      </c>
      <c r="P265" s="3" t="str">
        <f t="shared" si="4"/>
        <v/>
      </c>
    </row>
    <row r="266" spans="1:16">
      <c r="A266" s="2" t="str">
        <f>IF(C266="","",VLOOKUP(C266,[1]ISO辞書!A:C,2,FALSE))</f>
        <v/>
      </c>
      <c r="B266" s="3" t="str">
        <f>IF(C266="","",VLOOKUP(C266,[1]ISO辞書!A:C,3,FALSE))</f>
        <v/>
      </c>
      <c r="M266" s="2" t="str">
        <f>IF(J266="","",VLOOKUP(J266,[1]ISO辞書!A:B,2,FALSE))</f>
        <v/>
      </c>
      <c r="N266" s="2" t="str">
        <f>IF(K266="","",VLOOKUP(K266,[1]ISO辞書!A:B,2,FALSE))</f>
        <v/>
      </c>
      <c r="O266" s="2" t="str">
        <f>IF(L266="","",VLOOKUP(L266,[1]ISO辞書!A:B,2,FALSE))</f>
        <v/>
      </c>
      <c r="P266" s="3" t="str">
        <f t="shared" si="4"/>
        <v/>
      </c>
    </row>
    <row r="267" spans="1:16">
      <c r="A267" s="2" t="str">
        <f>IF(C267="","",VLOOKUP(C267,[1]ISO辞書!A:C,2,FALSE))</f>
        <v/>
      </c>
      <c r="B267" s="3" t="str">
        <f>IF(C267="","",VLOOKUP(C267,[1]ISO辞書!A:C,3,FALSE))</f>
        <v/>
      </c>
      <c r="M267" s="2" t="str">
        <f>IF(J267="","",VLOOKUP(J267,[1]ISO辞書!A:B,2,FALSE))</f>
        <v/>
      </c>
      <c r="N267" s="2" t="str">
        <f>IF(K267="","",VLOOKUP(K267,[1]ISO辞書!A:B,2,FALSE))</f>
        <v/>
      </c>
      <c r="O267" s="2" t="str">
        <f>IF(L267="","",VLOOKUP(L267,[1]ISO辞書!A:B,2,FALSE))</f>
        <v/>
      </c>
      <c r="P267" s="3" t="str">
        <f t="shared" si="4"/>
        <v/>
      </c>
    </row>
    <row r="268" spans="1:16">
      <c r="A268" s="2" t="str">
        <f>IF(C268="","",VLOOKUP(C268,[1]ISO辞書!A:C,2,FALSE))</f>
        <v/>
      </c>
      <c r="B268" s="3" t="str">
        <f>IF(C268="","",VLOOKUP(C268,[1]ISO辞書!A:C,3,FALSE))</f>
        <v/>
      </c>
      <c r="M268" s="2" t="str">
        <f>IF(J268="","",VLOOKUP(J268,[1]ISO辞書!A:B,2,FALSE))</f>
        <v/>
      </c>
      <c r="N268" s="2" t="str">
        <f>IF(K268="","",VLOOKUP(K268,[1]ISO辞書!A:B,2,FALSE))</f>
        <v/>
      </c>
      <c r="O268" s="2" t="str">
        <f>IF(L268="","",VLOOKUP(L268,[1]ISO辞書!A:B,2,FALSE))</f>
        <v/>
      </c>
      <c r="P268" s="3" t="str">
        <f t="shared" si="4"/>
        <v/>
      </c>
    </row>
    <row r="269" spans="1:16">
      <c r="A269" s="2" t="str">
        <f>IF(C269="","",VLOOKUP(C269,[1]ISO辞書!A:C,2,FALSE))</f>
        <v/>
      </c>
      <c r="B269" s="3" t="str">
        <f>IF(C269="","",VLOOKUP(C269,[1]ISO辞書!A:C,3,FALSE))</f>
        <v/>
      </c>
      <c r="M269" s="2" t="str">
        <f>IF(J269="","",VLOOKUP(J269,[1]ISO辞書!A:B,2,FALSE))</f>
        <v/>
      </c>
      <c r="N269" s="2" t="str">
        <f>IF(K269="","",VLOOKUP(K269,[1]ISO辞書!A:B,2,FALSE))</f>
        <v/>
      </c>
      <c r="O269" s="2" t="str">
        <f>IF(L269="","",VLOOKUP(L269,[1]ISO辞書!A:B,2,FALSE))</f>
        <v/>
      </c>
      <c r="P269" s="3" t="str">
        <f t="shared" si="4"/>
        <v/>
      </c>
    </row>
    <row r="270" spans="1:16">
      <c r="A270" s="2" t="str">
        <f>IF(C270="","",VLOOKUP(C270,[1]ISO辞書!A:C,2,FALSE))</f>
        <v/>
      </c>
      <c r="B270" s="3" t="str">
        <f>IF(C270="","",VLOOKUP(C270,[1]ISO辞書!A:C,3,FALSE))</f>
        <v/>
      </c>
      <c r="M270" s="2" t="str">
        <f>IF(J270="","",VLOOKUP(J270,[1]ISO辞書!A:B,2,FALSE))</f>
        <v/>
      </c>
      <c r="N270" s="2" t="str">
        <f>IF(K270="","",VLOOKUP(K270,[1]ISO辞書!A:B,2,FALSE))</f>
        <v/>
      </c>
      <c r="O270" s="2" t="str">
        <f>IF(L270="","",VLOOKUP(L270,[1]ISO辞書!A:B,2,FALSE))</f>
        <v/>
      </c>
      <c r="P270" s="3" t="str">
        <f t="shared" si="4"/>
        <v/>
      </c>
    </row>
    <row r="271" spans="1:16">
      <c r="A271" s="2" t="str">
        <f>IF(C271="","",VLOOKUP(C271,[1]ISO辞書!A:C,2,FALSE))</f>
        <v/>
      </c>
      <c r="B271" s="3" t="str">
        <f>IF(C271="","",VLOOKUP(C271,[1]ISO辞書!A:C,3,FALSE))</f>
        <v/>
      </c>
      <c r="M271" s="2" t="str">
        <f>IF(J271="","",VLOOKUP(J271,[1]ISO辞書!A:B,2,FALSE))</f>
        <v/>
      </c>
      <c r="N271" s="2" t="str">
        <f>IF(K271="","",VLOOKUP(K271,[1]ISO辞書!A:B,2,FALSE))</f>
        <v/>
      </c>
      <c r="O271" s="2" t="str">
        <f>IF(L271="","",VLOOKUP(L271,[1]ISO辞書!A:B,2,FALSE))</f>
        <v/>
      </c>
      <c r="P271" s="3" t="str">
        <f t="shared" si="4"/>
        <v/>
      </c>
    </row>
    <row r="272" spans="1:16">
      <c r="A272" s="2" t="str">
        <f>IF(C272="","",VLOOKUP(C272,[1]ISO辞書!A:C,2,FALSE))</f>
        <v/>
      </c>
      <c r="B272" s="3" t="str">
        <f>IF(C272="","",VLOOKUP(C272,[1]ISO辞書!A:C,3,FALSE))</f>
        <v/>
      </c>
      <c r="M272" s="2" t="str">
        <f>IF(J272="","",VLOOKUP(J272,[1]ISO辞書!A:B,2,FALSE))</f>
        <v/>
      </c>
      <c r="N272" s="2" t="str">
        <f>IF(K272="","",VLOOKUP(K272,[1]ISO辞書!A:B,2,FALSE))</f>
        <v/>
      </c>
      <c r="O272" s="2" t="str">
        <f>IF(L272="","",VLOOKUP(L272,[1]ISO辞書!A:B,2,FALSE))</f>
        <v/>
      </c>
      <c r="P272" s="3" t="str">
        <f t="shared" si="4"/>
        <v/>
      </c>
    </row>
    <row r="273" spans="1:16">
      <c r="A273" s="2" t="str">
        <f>IF(C273="","",VLOOKUP(C273,[1]ISO辞書!A:C,2,FALSE))</f>
        <v/>
      </c>
      <c r="B273" s="3" t="str">
        <f>IF(C273="","",VLOOKUP(C273,[1]ISO辞書!A:C,3,FALSE))</f>
        <v/>
      </c>
      <c r="M273" s="2" t="str">
        <f>IF(J273="","",VLOOKUP(J273,[1]ISO辞書!A:B,2,FALSE))</f>
        <v/>
      </c>
      <c r="N273" s="2" t="str">
        <f>IF(K273="","",VLOOKUP(K273,[1]ISO辞書!A:B,2,FALSE))</f>
        <v/>
      </c>
      <c r="O273" s="2" t="str">
        <f>IF(L273="","",VLOOKUP(L273,[1]ISO辞書!A:B,2,FALSE))</f>
        <v/>
      </c>
      <c r="P273" s="3" t="str">
        <f t="shared" si="4"/>
        <v/>
      </c>
    </row>
    <row r="274" spans="1:16">
      <c r="A274" s="2" t="str">
        <f>IF(C274="","",VLOOKUP(C274,[1]ISO辞書!A:C,2,FALSE))</f>
        <v/>
      </c>
      <c r="B274" s="3" t="str">
        <f>IF(C274="","",VLOOKUP(C274,[1]ISO辞書!A:C,3,FALSE))</f>
        <v/>
      </c>
      <c r="M274" s="2" t="str">
        <f>IF(J274="","",VLOOKUP(J274,[1]ISO辞書!A:B,2,FALSE))</f>
        <v/>
      </c>
      <c r="N274" s="2" t="str">
        <f>IF(K274="","",VLOOKUP(K274,[1]ISO辞書!A:B,2,FALSE))</f>
        <v/>
      </c>
      <c r="O274" s="2" t="str">
        <f>IF(L274="","",VLOOKUP(L274,[1]ISO辞書!A:B,2,FALSE))</f>
        <v/>
      </c>
      <c r="P274" s="3" t="str">
        <f t="shared" si="4"/>
        <v/>
      </c>
    </row>
    <row r="275" spans="1:16">
      <c r="A275" s="2" t="str">
        <f>IF(C275="","",VLOOKUP(C275,[1]ISO辞書!A:C,2,FALSE))</f>
        <v/>
      </c>
      <c r="B275" s="3" t="str">
        <f>IF(C275="","",VLOOKUP(C275,[1]ISO辞書!A:C,3,FALSE))</f>
        <v/>
      </c>
      <c r="M275" s="2" t="str">
        <f>IF(J275="","",VLOOKUP(J275,[1]ISO辞書!A:B,2,FALSE))</f>
        <v/>
      </c>
      <c r="N275" s="2" t="str">
        <f>IF(K275="","",VLOOKUP(K275,[1]ISO辞書!A:B,2,FALSE))</f>
        <v/>
      </c>
      <c r="O275" s="2" t="str">
        <f>IF(L275="","",VLOOKUP(L275,[1]ISO辞書!A:B,2,FALSE))</f>
        <v/>
      </c>
      <c r="P275" s="3" t="str">
        <f t="shared" si="4"/>
        <v/>
      </c>
    </row>
    <row r="276" spans="1:16">
      <c r="A276" s="2" t="str">
        <f>IF(C276="","",VLOOKUP(C276,[1]ISO辞書!A:C,2,FALSE))</f>
        <v/>
      </c>
      <c r="B276" s="3" t="str">
        <f>IF(C276="","",VLOOKUP(C276,[1]ISO辞書!A:C,3,FALSE))</f>
        <v/>
      </c>
      <c r="M276" s="2" t="str">
        <f>IF(J276="","",VLOOKUP(J276,[1]ISO辞書!A:B,2,FALSE))</f>
        <v/>
      </c>
      <c r="N276" s="2" t="str">
        <f>IF(K276="","",VLOOKUP(K276,[1]ISO辞書!A:B,2,FALSE))</f>
        <v/>
      </c>
      <c r="O276" s="2" t="str">
        <f>IF(L276="","",VLOOKUP(L276,[1]ISO辞書!A:B,2,FALSE))</f>
        <v/>
      </c>
      <c r="P276" s="3" t="str">
        <f t="shared" si="4"/>
        <v/>
      </c>
    </row>
    <row r="277" spans="1:16">
      <c r="A277" s="2" t="str">
        <f>IF(C277="","",VLOOKUP(C277,[1]ISO辞書!A:C,2,FALSE))</f>
        <v/>
      </c>
      <c r="B277" s="3" t="str">
        <f>IF(C277="","",VLOOKUP(C277,[1]ISO辞書!A:C,3,FALSE))</f>
        <v/>
      </c>
      <c r="M277" s="2" t="str">
        <f>IF(J277="","",VLOOKUP(J277,[1]ISO辞書!A:B,2,FALSE))</f>
        <v/>
      </c>
      <c r="N277" s="2" t="str">
        <f>IF(K277="","",VLOOKUP(K277,[1]ISO辞書!A:B,2,FALSE))</f>
        <v/>
      </c>
      <c r="O277" s="2" t="str">
        <f>IF(L277="","",VLOOKUP(L277,[1]ISO辞書!A:B,2,FALSE))</f>
        <v/>
      </c>
      <c r="P277" s="3" t="str">
        <f t="shared" si="4"/>
        <v/>
      </c>
    </row>
    <row r="278" spans="1:16">
      <c r="A278" s="2" t="str">
        <f>IF(C278="","",VLOOKUP(C278,[1]ISO辞書!A:C,2,FALSE))</f>
        <v/>
      </c>
      <c r="B278" s="3" t="str">
        <f>IF(C278="","",VLOOKUP(C278,[1]ISO辞書!A:C,3,FALSE))</f>
        <v/>
      </c>
      <c r="M278" s="2" t="str">
        <f>IF(J278="","",VLOOKUP(J278,[1]ISO辞書!A:B,2,FALSE))</f>
        <v/>
      </c>
      <c r="N278" s="2" t="str">
        <f>IF(K278="","",VLOOKUP(K278,[1]ISO辞書!A:B,2,FALSE))</f>
        <v/>
      </c>
      <c r="O278" s="2" t="str">
        <f>IF(L278="","",VLOOKUP(L278,[1]ISO辞書!A:B,2,FALSE))</f>
        <v/>
      </c>
      <c r="P278" s="3" t="str">
        <f t="shared" si="4"/>
        <v/>
      </c>
    </row>
    <row r="279" spans="1:16">
      <c r="A279" s="2" t="str">
        <f>IF(C279="","",VLOOKUP(C279,[1]ISO辞書!A:C,2,FALSE))</f>
        <v/>
      </c>
      <c r="B279" s="3" t="str">
        <f>IF(C279="","",VLOOKUP(C279,[1]ISO辞書!A:C,3,FALSE))</f>
        <v/>
      </c>
      <c r="M279" s="2" t="str">
        <f>IF(J279="","",VLOOKUP(J279,[1]ISO辞書!A:B,2,FALSE))</f>
        <v/>
      </c>
      <c r="N279" s="2" t="str">
        <f>IF(K279="","",VLOOKUP(K279,[1]ISO辞書!A:B,2,FALSE))</f>
        <v/>
      </c>
      <c r="O279" s="2" t="str">
        <f>IF(L279="","",VLOOKUP(L279,[1]ISO辞書!A:B,2,FALSE))</f>
        <v/>
      </c>
      <c r="P279" s="3" t="str">
        <f t="shared" si="4"/>
        <v/>
      </c>
    </row>
    <row r="280" spans="1:16">
      <c r="A280" s="2" t="str">
        <f>IF(C280="","",VLOOKUP(C280,[1]ISO辞書!A:C,2,FALSE))</f>
        <v/>
      </c>
      <c r="B280" s="3" t="str">
        <f>IF(C280="","",VLOOKUP(C280,[1]ISO辞書!A:C,3,FALSE))</f>
        <v/>
      </c>
      <c r="M280" s="2" t="str">
        <f>IF(J280="","",VLOOKUP(J280,[1]ISO辞書!A:B,2,FALSE))</f>
        <v/>
      </c>
      <c r="N280" s="2" t="str">
        <f>IF(K280="","",VLOOKUP(K280,[1]ISO辞書!A:B,2,FALSE))</f>
        <v/>
      </c>
      <c r="O280" s="2" t="str">
        <f>IF(L280="","",VLOOKUP(L280,[1]ISO辞書!A:B,2,FALSE))</f>
        <v/>
      </c>
      <c r="P280" s="3" t="str">
        <f t="shared" si="4"/>
        <v/>
      </c>
    </row>
    <row r="281" spans="1:16">
      <c r="A281" s="2" t="str">
        <f>IF(C281="","",VLOOKUP(C281,[1]ISO辞書!A:C,2,FALSE))</f>
        <v/>
      </c>
      <c r="B281" s="3" t="str">
        <f>IF(C281="","",VLOOKUP(C281,[1]ISO辞書!A:C,3,FALSE))</f>
        <v/>
      </c>
      <c r="M281" s="2" t="str">
        <f>IF(J281="","",VLOOKUP(J281,[1]ISO辞書!A:B,2,FALSE))</f>
        <v/>
      </c>
      <c r="N281" s="2" t="str">
        <f>IF(K281="","",VLOOKUP(K281,[1]ISO辞書!A:B,2,FALSE))</f>
        <v/>
      </c>
      <c r="O281" s="2" t="str">
        <f>IF(L281="","",VLOOKUP(L281,[1]ISO辞書!A:B,2,FALSE))</f>
        <v/>
      </c>
      <c r="P281" s="3" t="str">
        <f t="shared" si="4"/>
        <v/>
      </c>
    </row>
    <row r="282" spans="1:16">
      <c r="A282" s="2" t="str">
        <f>IF(C282="","",VLOOKUP(C282,[1]ISO辞書!A:C,2,FALSE))</f>
        <v/>
      </c>
      <c r="B282" s="3" t="str">
        <f>IF(C282="","",VLOOKUP(C282,[1]ISO辞書!A:C,3,FALSE))</f>
        <v/>
      </c>
      <c r="M282" s="2" t="str">
        <f>IF(J282="","",VLOOKUP(J282,[1]ISO辞書!A:B,2,FALSE))</f>
        <v/>
      </c>
      <c r="N282" s="2" t="str">
        <f>IF(K282="","",VLOOKUP(K282,[1]ISO辞書!A:B,2,FALSE))</f>
        <v/>
      </c>
      <c r="O282" s="2" t="str">
        <f>IF(L282="","",VLOOKUP(L282,[1]ISO辞書!A:B,2,FALSE))</f>
        <v/>
      </c>
      <c r="P282" s="3" t="str">
        <f t="shared" si="4"/>
        <v/>
      </c>
    </row>
    <row r="283" spans="1:16">
      <c r="A283" s="2" t="str">
        <f>IF(C283="","",VLOOKUP(C283,[1]ISO辞書!A:C,2,FALSE))</f>
        <v/>
      </c>
      <c r="B283" s="3" t="str">
        <f>IF(C283="","",VLOOKUP(C283,[1]ISO辞書!A:C,3,FALSE))</f>
        <v/>
      </c>
      <c r="M283" s="2" t="str">
        <f>IF(J283="","",VLOOKUP(J283,[1]ISO辞書!A:B,2,FALSE))</f>
        <v/>
      </c>
      <c r="N283" s="2" t="str">
        <f>IF(K283="","",VLOOKUP(K283,[1]ISO辞書!A:B,2,FALSE))</f>
        <v/>
      </c>
      <c r="O283" s="2" t="str">
        <f>IF(L283="","",VLOOKUP(L283,[1]ISO辞書!A:B,2,FALSE))</f>
        <v/>
      </c>
      <c r="P283" s="3" t="str">
        <f t="shared" si="4"/>
        <v/>
      </c>
    </row>
    <row r="284" spans="1:16">
      <c r="A284" s="2" t="str">
        <f>IF(C284="","",VLOOKUP(C284,[1]ISO辞書!A:C,2,FALSE))</f>
        <v/>
      </c>
      <c r="B284" s="3" t="str">
        <f>IF(C284="","",VLOOKUP(C284,[1]ISO辞書!A:C,3,FALSE))</f>
        <v/>
      </c>
      <c r="M284" s="2" t="str">
        <f>IF(J284="","",VLOOKUP(J284,[1]ISO辞書!A:B,2,FALSE))</f>
        <v/>
      </c>
      <c r="N284" s="2" t="str">
        <f>IF(K284="","",VLOOKUP(K284,[1]ISO辞書!A:B,2,FALSE))</f>
        <v/>
      </c>
      <c r="O284" s="2" t="str">
        <f>IF(L284="","",VLOOKUP(L284,[1]ISO辞書!A:B,2,FALSE))</f>
        <v/>
      </c>
      <c r="P284" s="3" t="str">
        <f t="shared" si="4"/>
        <v/>
      </c>
    </row>
    <row r="285" spans="1:16">
      <c r="A285" s="2" t="str">
        <f>IF(C285="","",VLOOKUP(C285,[1]ISO辞書!A:C,2,FALSE))</f>
        <v/>
      </c>
      <c r="B285" s="3" t="str">
        <f>IF(C285="","",VLOOKUP(C285,[1]ISO辞書!A:C,3,FALSE))</f>
        <v/>
      </c>
      <c r="M285" s="2" t="str">
        <f>IF(J285="","",VLOOKUP(J285,[1]ISO辞書!A:B,2,FALSE))</f>
        <v/>
      </c>
      <c r="N285" s="2" t="str">
        <f>IF(K285="","",VLOOKUP(K285,[1]ISO辞書!A:B,2,FALSE))</f>
        <v/>
      </c>
      <c r="O285" s="2" t="str">
        <f>IF(L285="","",VLOOKUP(L285,[1]ISO辞書!A:B,2,FALSE))</f>
        <v/>
      </c>
      <c r="P285" s="3" t="str">
        <f t="shared" si="4"/>
        <v/>
      </c>
    </row>
    <row r="286" spans="1:16">
      <c r="A286" s="2" t="str">
        <f>IF(C286="","",VLOOKUP(C286,[1]ISO辞書!A:C,2,FALSE))</f>
        <v/>
      </c>
      <c r="B286" s="3" t="str">
        <f>IF(C286="","",VLOOKUP(C286,[1]ISO辞書!A:C,3,FALSE))</f>
        <v/>
      </c>
      <c r="M286" s="2" t="str">
        <f>IF(J286="","",VLOOKUP(J286,[1]ISO辞書!A:B,2,FALSE))</f>
        <v/>
      </c>
      <c r="N286" s="2" t="str">
        <f>IF(K286="","",VLOOKUP(K286,[1]ISO辞書!A:B,2,FALSE))</f>
        <v/>
      </c>
      <c r="O286" s="2" t="str">
        <f>IF(L286="","",VLOOKUP(L286,[1]ISO辞書!A:B,2,FALSE))</f>
        <v/>
      </c>
      <c r="P286" s="3" t="str">
        <f t="shared" si="4"/>
        <v/>
      </c>
    </row>
    <row r="287" spans="1:16">
      <c r="A287" s="2" t="str">
        <f>IF(C287="","",VLOOKUP(C287,[1]ISO辞書!A:C,2,FALSE))</f>
        <v/>
      </c>
      <c r="B287" s="3" t="str">
        <f>IF(C287="","",VLOOKUP(C287,[1]ISO辞書!A:C,3,FALSE))</f>
        <v/>
      </c>
      <c r="M287" s="2" t="str">
        <f>IF(J287="","",VLOOKUP(J287,[1]ISO辞書!A:B,2,FALSE))</f>
        <v/>
      </c>
      <c r="N287" s="2" t="str">
        <f>IF(K287="","",VLOOKUP(K287,[1]ISO辞書!A:B,2,FALSE))</f>
        <v/>
      </c>
      <c r="O287" s="2" t="str">
        <f>IF(L287="","",VLOOKUP(L287,[1]ISO辞書!A:B,2,FALSE))</f>
        <v/>
      </c>
      <c r="P287" s="3" t="str">
        <f t="shared" si="4"/>
        <v/>
      </c>
    </row>
    <row r="288" spans="1:16">
      <c r="A288" s="2" t="str">
        <f>IF(C288="","",VLOOKUP(C288,[1]ISO辞書!A:C,2,FALSE))</f>
        <v/>
      </c>
      <c r="B288" s="3" t="str">
        <f>IF(C288="","",VLOOKUP(C288,[1]ISO辞書!A:C,3,FALSE))</f>
        <v/>
      </c>
      <c r="M288" s="2" t="str">
        <f>IF(J288="","",VLOOKUP(J288,[1]ISO辞書!A:B,2,FALSE))</f>
        <v/>
      </c>
      <c r="N288" s="2" t="str">
        <f>IF(K288="","",VLOOKUP(K288,[1]ISO辞書!A:B,2,FALSE))</f>
        <v/>
      </c>
      <c r="O288" s="2" t="str">
        <f>IF(L288="","",VLOOKUP(L288,[1]ISO辞書!A:B,2,FALSE))</f>
        <v/>
      </c>
      <c r="P288" s="3" t="str">
        <f t="shared" si="4"/>
        <v/>
      </c>
    </row>
    <row r="289" spans="1:16">
      <c r="A289" s="2" t="str">
        <f>IF(C289="","",VLOOKUP(C289,[1]ISO辞書!A:C,2,FALSE))</f>
        <v/>
      </c>
      <c r="B289" s="3" t="str">
        <f>IF(C289="","",VLOOKUP(C289,[1]ISO辞書!A:C,3,FALSE))</f>
        <v/>
      </c>
      <c r="M289" s="2" t="str">
        <f>IF(J289="","",VLOOKUP(J289,[1]ISO辞書!A:B,2,FALSE))</f>
        <v/>
      </c>
      <c r="N289" s="2" t="str">
        <f>IF(K289="","",VLOOKUP(K289,[1]ISO辞書!A:B,2,FALSE))</f>
        <v/>
      </c>
      <c r="O289" s="2" t="str">
        <f>IF(L289="","",VLOOKUP(L289,[1]ISO辞書!A:B,2,FALSE))</f>
        <v/>
      </c>
      <c r="P289" s="3" t="str">
        <f t="shared" si="4"/>
        <v/>
      </c>
    </row>
    <row r="290" spans="1:16">
      <c r="A290" s="2" t="str">
        <f>IF(C290="","",VLOOKUP(C290,[1]ISO辞書!A:C,2,FALSE))</f>
        <v/>
      </c>
      <c r="B290" s="3" t="str">
        <f>IF(C290="","",VLOOKUP(C290,[1]ISO辞書!A:C,3,FALSE))</f>
        <v/>
      </c>
      <c r="M290" s="2" t="str">
        <f>IF(J290="","",VLOOKUP(J290,[1]ISO辞書!A:B,2,FALSE))</f>
        <v/>
      </c>
      <c r="N290" s="2" t="str">
        <f>IF(K290="","",VLOOKUP(K290,[1]ISO辞書!A:B,2,FALSE))</f>
        <v/>
      </c>
      <c r="O290" s="2" t="str">
        <f>IF(L290="","",VLOOKUP(L290,[1]ISO辞書!A:B,2,FALSE))</f>
        <v/>
      </c>
      <c r="P290" s="3" t="str">
        <f t="shared" si="4"/>
        <v/>
      </c>
    </row>
    <row r="291" spans="1:16">
      <c r="A291" s="2" t="str">
        <f>IF(C291="","",VLOOKUP(C291,[1]ISO辞書!A:C,2,FALSE))</f>
        <v/>
      </c>
      <c r="B291" s="3" t="str">
        <f>IF(C291="","",VLOOKUP(C291,[1]ISO辞書!A:C,3,FALSE))</f>
        <v/>
      </c>
      <c r="M291" s="2" t="str">
        <f>IF(J291="","",VLOOKUP(J291,[1]ISO辞書!A:B,2,FALSE))</f>
        <v/>
      </c>
      <c r="N291" s="2" t="str">
        <f>IF(K291="","",VLOOKUP(K291,[1]ISO辞書!A:B,2,FALSE))</f>
        <v/>
      </c>
      <c r="O291" s="2" t="str">
        <f>IF(L291="","",VLOOKUP(L291,[1]ISO辞書!A:B,2,FALSE))</f>
        <v/>
      </c>
      <c r="P291" s="3" t="str">
        <f t="shared" si="4"/>
        <v/>
      </c>
    </row>
    <row r="292" spans="1:16">
      <c r="A292" s="2" t="str">
        <f>IF(C292="","",VLOOKUP(C292,[1]ISO辞書!A:C,2,FALSE))</f>
        <v/>
      </c>
      <c r="B292" s="3" t="str">
        <f>IF(C292="","",VLOOKUP(C292,[1]ISO辞書!A:C,3,FALSE))</f>
        <v/>
      </c>
      <c r="M292" s="2" t="str">
        <f>IF(J292="","",VLOOKUP(J292,[1]ISO辞書!A:B,2,FALSE))</f>
        <v/>
      </c>
      <c r="N292" s="2" t="str">
        <f>IF(K292="","",VLOOKUP(K292,[1]ISO辞書!A:B,2,FALSE))</f>
        <v/>
      </c>
      <c r="O292" s="2" t="str">
        <f>IF(L292="","",VLOOKUP(L292,[1]ISO辞書!A:B,2,FALSE))</f>
        <v/>
      </c>
      <c r="P292" s="3" t="str">
        <f t="shared" si="4"/>
        <v/>
      </c>
    </row>
    <row r="293" spans="1:16">
      <c r="A293" s="2" t="str">
        <f>IF(C293="","",VLOOKUP(C293,[1]ISO辞書!A:C,2,FALSE))</f>
        <v/>
      </c>
      <c r="B293" s="3" t="str">
        <f>IF(C293="","",VLOOKUP(C293,[1]ISO辞書!A:C,3,FALSE))</f>
        <v/>
      </c>
      <c r="M293" s="2" t="str">
        <f>IF(J293="","",VLOOKUP(J293,[1]ISO辞書!A:B,2,FALSE))</f>
        <v/>
      </c>
      <c r="N293" s="2" t="str">
        <f>IF(K293="","",VLOOKUP(K293,[1]ISO辞書!A:B,2,FALSE))</f>
        <v/>
      </c>
      <c r="O293" s="2" t="str">
        <f>IF(L293="","",VLOOKUP(L293,[1]ISO辞書!A:B,2,FALSE))</f>
        <v/>
      </c>
      <c r="P293" s="3" t="str">
        <f t="shared" si="4"/>
        <v/>
      </c>
    </row>
    <row r="294" spans="1:16">
      <c r="A294" s="2" t="str">
        <f>IF(C294="","",VLOOKUP(C294,[1]ISO辞書!A:C,2,FALSE))</f>
        <v/>
      </c>
      <c r="B294" s="3" t="str">
        <f>IF(C294="","",VLOOKUP(C294,[1]ISO辞書!A:C,3,FALSE))</f>
        <v/>
      </c>
      <c r="M294" s="2" t="str">
        <f>IF(J294="","",VLOOKUP(J294,[1]ISO辞書!A:B,2,FALSE))</f>
        <v/>
      </c>
      <c r="N294" s="2" t="str">
        <f>IF(K294="","",VLOOKUP(K294,[1]ISO辞書!A:B,2,FALSE))</f>
        <v/>
      </c>
      <c r="O294" s="2" t="str">
        <f>IF(L294="","",VLOOKUP(L294,[1]ISO辞書!A:B,2,FALSE))</f>
        <v/>
      </c>
      <c r="P294" s="3" t="str">
        <f t="shared" si="4"/>
        <v/>
      </c>
    </row>
    <row r="295" spans="1:16">
      <c r="A295" s="2" t="str">
        <f>IF(C295="","",VLOOKUP(C295,[1]ISO辞書!A:C,2,FALSE))</f>
        <v/>
      </c>
      <c r="B295" s="3" t="str">
        <f>IF(C295="","",VLOOKUP(C295,[1]ISO辞書!A:C,3,FALSE))</f>
        <v/>
      </c>
      <c r="M295" s="2" t="str">
        <f>IF(J295="","",VLOOKUP(J295,[1]ISO辞書!A:B,2,FALSE))</f>
        <v/>
      </c>
      <c r="N295" s="2" t="str">
        <f>IF(K295="","",VLOOKUP(K295,[1]ISO辞書!A:B,2,FALSE))</f>
        <v/>
      </c>
      <c r="O295" s="2" t="str">
        <f>IF(L295="","",VLOOKUP(L295,[1]ISO辞書!A:B,2,FALSE))</f>
        <v/>
      </c>
      <c r="P295" s="3" t="str">
        <f t="shared" si="4"/>
        <v/>
      </c>
    </row>
    <row r="296" spans="1:16">
      <c r="A296" s="2" t="str">
        <f>IF(C296="","",VLOOKUP(C296,[1]ISO辞書!A:C,2,FALSE))</f>
        <v/>
      </c>
      <c r="B296" s="3" t="str">
        <f>IF(C296="","",VLOOKUP(C296,[1]ISO辞書!A:C,3,FALSE))</f>
        <v/>
      </c>
      <c r="M296" s="2" t="str">
        <f>IF(J296="","",VLOOKUP(J296,[1]ISO辞書!A:B,2,FALSE))</f>
        <v/>
      </c>
      <c r="N296" s="2" t="str">
        <f>IF(K296="","",VLOOKUP(K296,[1]ISO辞書!A:B,2,FALSE))</f>
        <v/>
      </c>
      <c r="O296" s="2" t="str">
        <f>IF(L296="","",VLOOKUP(L296,[1]ISO辞書!A:B,2,FALSE))</f>
        <v/>
      </c>
      <c r="P296" s="3" t="str">
        <f t="shared" si="4"/>
        <v/>
      </c>
    </row>
    <row r="297" spans="1:16">
      <c r="A297" s="2" t="str">
        <f>IF(C297="","",VLOOKUP(C297,[1]ISO辞書!A:C,2,FALSE))</f>
        <v/>
      </c>
      <c r="B297" s="3" t="str">
        <f>IF(C297="","",VLOOKUP(C297,[1]ISO辞書!A:C,3,FALSE))</f>
        <v/>
      </c>
      <c r="M297" s="2" t="str">
        <f>IF(J297="","",VLOOKUP(J297,[1]ISO辞書!A:B,2,FALSE))</f>
        <v/>
      </c>
      <c r="N297" s="2" t="str">
        <f>IF(K297="","",VLOOKUP(K297,[1]ISO辞書!A:B,2,FALSE))</f>
        <v/>
      </c>
      <c r="O297" s="2" t="str">
        <f>IF(L297="","",VLOOKUP(L297,[1]ISO辞書!A:B,2,FALSE))</f>
        <v/>
      </c>
      <c r="P297" s="3" t="str">
        <f t="shared" si="4"/>
        <v/>
      </c>
    </row>
    <row r="298" spans="1:16">
      <c r="A298" s="2" t="str">
        <f>IF(C298="","",VLOOKUP(C298,[1]ISO辞書!A:C,2,FALSE))</f>
        <v/>
      </c>
      <c r="B298" s="3" t="str">
        <f>IF(C298="","",VLOOKUP(C298,[1]ISO辞書!A:C,3,FALSE))</f>
        <v/>
      </c>
      <c r="M298" s="2" t="str">
        <f>IF(J298="","",VLOOKUP(J298,[1]ISO辞書!A:B,2,FALSE))</f>
        <v/>
      </c>
      <c r="N298" s="2" t="str">
        <f>IF(K298="","",VLOOKUP(K298,[1]ISO辞書!A:B,2,FALSE))</f>
        <v/>
      </c>
      <c r="O298" s="2" t="str">
        <f>IF(L298="","",VLOOKUP(L298,[1]ISO辞書!A:B,2,FALSE))</f>
        <v/>
      </c>
      <c r="P298" s="3" t="str">
        <f t="shared" si="4"/>
        <v/>
      </c>
    </row>
    <row r="299" spans="1:16">
      <c r="A299" s="2" t="str">
        <f>IF(C299="","",VLOOKUP(C299,[1]ISO辞書!A:C,2,FALSE))</f>
        <v/>
      </c>
      <c r="B299" s="3" t="str">
        <f>IF(C299="","",VLOOKUP(C299,[1]ISO辞書!A:C,3,FALSE))</f>
        <v/>
      </c>
      <c r="M299" s="2" t="str">
        <f>IF(J299="","",VLOOKUP(J299,[1]ISO辞書!A:B,2,FALSE))</f>
        <v/>
      </c>
      <c r="N299" s="2" t="str">
        <f>IF(K299="","",VLOOKUP(K299,[1]ISO辞書!A:B,2,FALSE))</f>
        <v/>
      </c>
      <c r="O299" s="2" t="str">
        <f>IF(L299="","",VLOOKUP(L299,[1]ISO辞書!A:B,2,FALSE))</f>
        <v/>
      </c>
      <c r="P299" s="3" t="str">
        <f t="shared" si="4"/>
        <v/>
      </c>
    </row>
    <row r="300" spans="1:16">
      <c r="A300" s="2" t="str">
        <f>IF(C300="","",VLOOKUP(C300,[1]ISO辞書!A:C,2,FALSE))</f>
        <v/>
      </c>
      <c r="B300" s="3" t="str">
        <f>IF(C300="","",VLOOKUP(C300,[1]ISO辞書!A:C,3,FALSE))</f>
        <v/>
      </c>
      <c r="M300" s="2" t="str">
        <f>IF(J300="","",VLOOKUP(J300,[1]ISO辞書!A:B,2,FALSE))</f>
        <v/>
      </c>
      <c r="N300" s="2" t="str">
        <f>IF(K300="","",VLOOKUP(K300,[1]ISO辞書!A:B,2,FALSE))</f>
        <v/>
      </c>
      <c r="O300" s="2" t="str">
        <f>IF(L300="","",VLOOKUP(L300,[1]ISO辞書!A:B,2,FALSE))</f>
        <v/>
      </c>
      <c r="P300" s="3" t="str">
        <f t="shared" si="4"/>
        <v/>
      </c>
    </row>
    <row r="301" spans="1:16">
      <c r="A301" s="2" t="str">
        <f>IF(C301="","",VLOOKUP(C301,[1]ISO辞書!A:C,2,FALSE))</f>
        <v/>
      </c>
      <c r="B301" s="3" t="str">
        <f>IF(C301="","",VLOOKUP(C301,[1]ISO辞書!A:C,3,FALSE))</f>
        <v/>
      </c>
      <c r="M301" s="2" t="str">
        <f>IF(J301="","",VLOOKUP(J301,[1]ISO辞書!A:B,2,FALSE))</f>
        <v/>
      </c>
      <c r="N301" s="2" t="str">
        <f>IF(K301="","",VLOOKUP(K301,[1]ISO辞書!A:B,2,FALSE))</f>
        <v/>
      </c>
      <c r="O301" s="2" t="str">
        <f>IF(L301="","",VLOOKUP(L301,[1]ISO辞書!A:B,2,FALSE))</f>
        <v/>
      </c>
      <c r="P301" s="3" t="str">
        <f t="shared" si="4"/>
        <v/>
      </c>
    </row>
    <row r="302" spans="1:16">
      <c r="A302" s="2" t="str">
        <f>IF(C302="","",VLOOKUP(C302,[1]ISO辞書!A:C,2,FALSE))</f>
        <v/>
      </c>
      <c r="B302" s="3" t="str">
        <f>IF(C302="","",VLOOKUP(C302,[1]ISO辞書!A:C,3,FALSE))</f>
        <v/>
      </c>
      <c r="M302" s="2" t="str">
        <f>IF(J302="","",VLOOKUP(J302,[1]ISO辞書!A:B,2,FALSE))</f>
        <v/>
      </c>
      <c r="N302" s="2" t="str">
        <f>IF(K302="","",VLOOKUP(K302,[1]ISO辞書!A:B,2,FALSE))</f>
        <v/>
      </c>
      <c r="O302" s="2" t="str">
        <f>IF(L302="","",VLOOKUP(L302,[1]ISO辞書!A:B,2,FALSE))</f>
        <v/>
      </c>
      <c r="P302" s="3" t="str">
        <f t="shared" si="4"/>
        <v/>
      </c>
    </row>
    <row r="303" spans="1:16">
      <c r="A303" s="2" t="str">
        <f>IF(C303="","",VLOOKUP(C303,[1]ISO辞書!A:C,2,FALSE))</f>
        <v/>
      </c>
      <c r="B303" s="3" t="str">
        <f>IF(C303="","",VLOOKUP(C303,[1]ISO辞書!A:C,3,FALSE))</f>
        <v/>
      </c>
      <c r="M303" s="2" t="str">
        <f>IF(J303="","",VLOOKUP(J303,[1]ISO辞書!A:B,2,FALSE))</f>
        <v/>
      </c>
      <c r="N303" s="2" t="str">
        <f>IF(K303="","",VLOOKUP(K303,[1]ISO辞書!A:B,2,FALSE))</f>
        <v/>
      </c>
      <c r="O303" s="2" t="str">
        <f>IF(L303="","",VLOOKUP(L303,[1]ISO辞書!A:B,2,FALSE))</f>
        <v/>
      </c>
      <c r="P303" s="3" t="str">
        <f t="shared" si="4"/>
        <v/>
      </c>
    </row>
    <row r="304" spans="1:16">
      <c r="A304" s="2" t="str">
        <f>IF(C304="","",VLOOKUP(C304,[1]ISO辞書!A:C,2,FALSE))</f>
        <v/>
      </c>
      <c r="B304" s="3" t="str">
        <f>IF(C304="","",VLOOKUP(C304,[1]ISO辞書!A:C,3,FALSE))</f>
        <v/>
      </c>
      <c r="M304" s="2" t="str">
        <f>IF(J304="","",VLOOKUP(J304,[1]ISO辞書!A:B,2,FALSE))</f>
        <v/>
      </c>
      <c r="N304" s="2" t="str">
        <f>IF(K304="","",VLOOKUP(K304,[1]ISO辞書!A:B,2,FALSE))</f>
        <v/>
      </c>
      <c r="O304" s="2" t="str">
        <f>IF(L304="","",VLOOKUP(L304,[1]ISO辞書!A:B,2,FALSE))</f>
        <v/>
      </c>
      <c r="P304" s="3" t="str">
        <f t="shared" si="4"/>
        <v/>
      </c>
    </row>
    <row r="305" spans="1:16">
      <c r="A305" s="2" t="str">
        <f>IF(C305="","",VLOOKUP(C305,[1]ISO辞書!A:C,2,FALSE))</f>
        <v/>
      </c>
      <c r="B305" s="3" t="str">
        <f>IF(C305="","",VLOOKUP(C305,[1]ISO辞書!A:C,3,FALSE))</f>
        <v/>
      </c>
      <c r="M305" s="2" t="str">
        <f>IF(J305="","",VLOOKUP(J305,[1]ISO辞書!A:B,2,FALSE))</f>
        <v/>
      </c>
      <c r="N305" s="2" t="str">
        <f>IF(K305="","",VLOOKUP(K305,[1]ISO辞書!A:B,2,FALSE))</f>
        <v/>
      </c>
      <c r="O305" s="2" t="str">
        <f>IF(L305="","",VLOOKUP(L305,[1]ISO辞書!A:B,2,FALSE))</f>
        <v/>
      </c>
      <c r="P305" s="3" t="str">
        <f t="shared" si="4"/>
        <v/>
      </c>
    </row>
    <row r="306" spans="1:16">
      <c r="A306" s="2" t="str">
        <f>IF(C306="","",VLOOKUP(C306,[1]ISO辞書!A:C,2,FALSE))</f>
        <v/>
      </c>
      <c r="B306" s="3" t="str">
        <f>IF(C306="","",VLOOKUP(C306,[1]ISO辞書!A:C,3,FALSE))</f>
        <v/>
      </c>
      <c r="M306" s="2" t="str">
        <f>IF(J306="","",VLOOKUP(J306,[1]ISO辞書!A:B,2,FALSE))</f>
        <v/>
      </c>
      <c r="N306" s="2" t="str">
        <f>IF(K306="","",VLOOKUP(K306,[1]ISO辞書!A:B,2,FALSE))</f>
        <v/>
      </c>
      <c r="O306" s="2" t="str">
        <f>IF(L306="","",VLOOKUP(L306,[1]ISO辞書!A:B,2,FALSE))</f>
        <v/>
      </c>
      <c r="P306" s="3" t="str">
        <f t="shared" si="4"/>
        <v/>
      </c>
    </row>
    <row r="307" spans="1:16">
      <c r="A307" s="2" t="str">
        <f>IF(C307="","",VLOOKUP(C307,[1]ISO辞書!A:C,2,FALSE))</f>
        <v/>
      </c>
      <c r="B307" s="3" t="str">
        <f>IF(C307="","",VLOOKUP(C307,[1]ISO辞書!A:C,3,FALSE))</f>
        <v/>
      </c>
      <c r="M307" s="2" t="str">
        <f>IF(J307="","",VLOOKUP(J307,[1]ISO辞書!A:B,2,FALSE))</f>
        <v/>
      </c>
      <c r="N307" s="2" t="str">
        <f>IF(K307="","",VLOOKUP(K307,[1]ISO辞書!A:B,2,FALSE))</f>
        <v/>
      </c>
      <c r="O307" s="2" t="str">
        <f>IF(L307="","",VLOOKUP(L307,[1]ISO辞書!A:B,2,FALSE))</f>
        <v/>
      </c>
      <c r="P307" s="3" t="str">
        <f t="shared" si="4"/>
        <v/>
      </c>
    </row>
    <row r="308" spans="1:16">
      <c r="A308" s="2" t="str">
        <f>IF(C308="","",VLOOKUP(C308,[1]ISO辞書!A:C,2,FALSE))</f>
        <v/>
      </c>
      <c r="B308" s="3" t="str">
        <f>IF(C308="","",VLOOKUP(C308,[1]ISO辞書!A:C,3,FALSE))</f>
        <v/>
      </c>
      <c r="M308" s="2" t="str">
        <f>IF(J308="","",VLOOKUP(J308,[1]ISO辞書!A:B,2,FALSE))</f>
        <v/>
      </c>
      <c r="N308" s="2" t="str">
        <f>IF(K308="","",VLOOKUP(K308,[1]ISO辞書!A:B,2,FALSE))</f>
        <v/>
      </c>
      <c r="O308" s="2" t="str">
        <f>IF(L308="","",VLOOKUP(L308,[1]ISO辞書!A:B,2,FALSE))</f>
        <v/>
      </c>
      <c r="P308" s="3" t="str">
        <f t="shared" si="4"/>
        <v/>
      </c>
    </row>
    <row r="309" spans="1:16">
      <c r="A309" s="2" t="str">
        <f>IF(C309="","",VLOOKUP(C309,[1]ISO辞書!A:C,2,FALSE))</f>
        <v/>
      </c>
      <c r="B309" s="3" t="str">
        <f>IF(C309="","",VLOOKUP(C309,[1]ISO辞書!A:C,3,FALSE))</f>
        <v/>
      </c>
      <c r="M309" s="2" t="str">
        <f>IF(J309="","",VLOOKUP(J309,[1]ISO辞書!A:B,2,FALSE))</f>
        <v/>
      </c>
      <c r="N309" s="2" t="str">
        <f>IF(K309="","",VLOOKUP(K309,[1]ISO辞書!A:B,2,FALSE))</f>
        <v/>
      </c>
      <c r="O309" s="2" t="str">
        <f>IF(L309="","",VLOOKUP(L309,[1]ISO辞書!A:B,2,FALSE))</f>
        <v/>
      </c>
      <c r="P309" s="3" t="str">
        <f t="shared" si="4"/>
        <v/>
      </c>
    </row>
    <row r="310" spans="1:16">
      <c r="A310" s="2" t="str">
        <f>IF(C310="","",VLOOKUP(C310,[1]ISO辞書!A:C,2,FALSE))</f>
        <v/>
      </c>
      <c r="B310" s="3" t="str">
        <f>IF(C310="","",VLOOKUP(C310,[1]ISO辞書!A:C,3,FALSE))</f>
        <v/>
      </c>
      <c r="M310" s="2" t="str">
        <f>IF(J310="","",VLOOKUP(J310,[1]ISO辞書!A:B,2,FALSE))</f>
        <v/>
      </c>
      <c r="N310" s="2" t="str">
        <f>IF(K310="","",VLOOKUP(K310,[1]ISO辞書!A:B,2,FALSE))</f>
        <v/>
      </c>
      <c r="O310" s="2" t="str">
        <f>IF(L310="","",VLOOKUP(L310,[1]ISO辞書!A:B,2,FALSE))</f>
        <v/>
      </c>
      <c r="P310" s="3" t="str">
        <f t="shared" si="4"/>
        <v/>
      </c>
    </row>
    <row r="311" spans="1:16">
      <c r="A311" s="2" t="str">
        <f>IF(C311="","",VLOOKUP(C311,[1]ISO辞書!A:C,2,FALSE))</f>
        <v/>
      </c>
      <c r="B311" s="3" t="str">
        <f>IF(C311="","",VLOOKUP(C311,[1]ISO辞書!A:C,3,FALSE))</f>
        <v/>
      </c>
      <c r="M311" s="2" t="str">
        <f>IF(J311="","",VLOOKUP(J311,[1]ISO辞書!A:B,2,FALSE))</f>
        <v/>
      </c>
      <c r="N311" s="2" t="str">
        <f>IF(K311="","",VLOOKUP(K311,[1]ISO辞書!A:B,2,FALSE))</f>
        <v/>
      </c>
      <c r="O311" s="2" t="str">
        <f>IF(L311="","",VLOOKUP(L311,[1]ISO辞書!A:B,2,FALSE))</f>
        <v/>
      </c>
      <c r="P311" s="3" t="str">
        <f t="shared" si="4"/>
        <v/>
      </c>
    </row>
    <row r="312" spans="1:16">
      <c r="A312" s="2" t="str">
        <f>IF(C312="","",VLOOKUP(C312,[1]ISO辞書!A:C,2,FALSE))</f>
        <v/>
      </c>
      <c r="B312" s="3" t="str">
        <f>IF(C312="","",VLOOKUP(C312,[1]ISO辞書!A:C,3,FALSE))</f>
        <v/>
      </c>
      <c r="M312" s="2" t="str">
        <f>IF(J312="","",VLOOKUP(J312,[1]ISO辞書!A:B,2,FALSE))</f>
        <v/>
      </c>
      <c r="N312" s="2" t="str">
        <f>IF(K312="","",VLOOKUP(K312,[1]ISO辞書!A:B,2,FALSE))</f>
        <v/>
      </c>
      <c r="O312" s="2" t="str">
        <f>IF(L312="","",VLOOKUP(L312,[1]ISO辞書!A:B,2,FALSE))</f>
        <v/>
      </c>
      <c r="P312" s="3" t="str">
        <f t="shared" si="4"/>
        <v/>
      </c>
    </row>
    <row r="313" spans="1:16">
      <c r="A313" s="2" t="str">
        <f>IF(C313="","",VLOOKUP(C313,[1]ISO辞書!A:C,2,FALSE))</f>
        <v/>
      </c>
      <c r="B313" s="3" t="str">
        <f>IF(C313="","",VLOOKUP(C313,[1]ISO辞書!A:C,3,FALSE))</f>
        <v/>
      </c>
      <c r="M313" s="2" t="str">
        <f>IF(J313="","",VLOOKUP(J313,[1]ISO辞書!A:B,2,FALSE))</f>
        <v/>
      </c>
      <c r="N313" s="2" t="str">
        <f>IF(K313="","",VLOOKUP(K313,[1]ISO辞書!A:B,2,FALSE))</f>
        <v/>
      </c>
      <c r="O313" s="2" t="str">
        <f>IF(L313="","",VLOOKUP(L313,[1]ISO辞書!A:B,2,FALSE))</f>
        <v/>
      </c>
      <c r="P313" s="3" t="str">
        <f t="shared" si="4"/>
        <v/>
      </c>
    </row>
    <row r="314" spans="1:16">
      <c r="A314" s="2" t="str">
        <f>IF(C314="","",VLOOKUP(C314,[1]ISO辞書!A:C,2,FALSE))</f>
        <v/>
      </c>
      <c r="B314" s="3" t="str">
        <f>IF(C314="","",VLOOKUP(C314,[1]ISO辞書!A:C,3,FALSE))</f>
        <v/>
      </c>
      <c r="M314" s="2" t="str">
        <f>IF(J314="","",VLOOKUP(J314,[1]ISO辞書!A:B,2,FALSE))</f>
        <v/>
      </c>
      <c r="N314" s="2" t="str">
        <f>IF(K314="","",VLOOKUP(K314,[1]ISO辞書!A:B,2,FALSE))</f>
        <v/>
      </c>
      <c r="O314" s="2" t="str">
        <f>IF(L314="","",VLOOKUP(L314,[1]ISO辞書!A:B,2,FALSE))</f>
        <v/>
      </c>
      <c r="P314" s="3" t="str">
        <f t="shared" si="4"/>
        <v/>
      </c>
    </row>
    <row r="315" spans="1:16">
      <c r="A315" s="2" t="str">
        <f>IF(C315="","",VLOOKUP(C315,[1]ISO辞書!A:C,2,FALSE))</f>
        <v/>
      </c>
      <c r="B315" s="3" t="str">
        <f>IF(C315="","",VLOOKUP(C315,[1]ISO辞書!A:C,3,FALSE))</f>
        <v/>
      </c>
      <c r="M315" s="2" t="str">
        <f>IF(J315="","",VLOOKUP(J315,[1]ISO辞書!A:B,2,FALSE))</f>
        <v/>
      </c>
      <c r="N315" s="2" t="str">
        <f>IF(K315="","",VLOOKUP(K315,[1]ISO辞書!A:B,2,FALSE))</f>
        <v/>
      </c>
      <c r="O315" s="2" t="str">
        <f>IF(L315="","",VLOOKUP(L315,[1]ISO辞書!A:B,2,FALSE))</f>
        <v/>
      </c>
      <c r="P315" s="3" t="str">
        <f t="shared" si="4"/>
        <v/>
      </c>
    </row>
    <row r="316" spans="1:16">
      <c r="A316" s="2" t="str">
        <f>IF(C316="","",VLOOKUP(C316,[1]ISO辞書!A:C,2,FALSE))</f>
        <v/>
      </c>
      <c r="B316" s="3" t="str">
        <f>IF(C316="","",VLOOKUP(C316,[1]ISO辞書!A:C,3,FALSE))</f>
        <v/>
      </c>
      <c r="M316" s="2" t="str">
        <f>IF(J316="","",VLOOKUP(J316,[1]ISO辞書!A:B,2,FALSE))</f>
        <v/>
      </c>
      <c r="N316" s="2" t="str">
        <f>IF(K316="","",VLOOKUP(K316,[1]ISO辞書!A:B,2,FALSE))</f>
        <v/>
      </c>
      <c r="O316" s="2" t="str">
        <f>IF(L316="","",VLOOKUP(L316,[1]ISO辞書!A:B,2,FALSE))</f>
        <v/>
      </c>
      <c r="P316" s="3" t="str">
        <f t="shared" si="4"/>
        <v/>
      </c>
    </row>
    <row r="317" spans="1:16">
      <c r="A317" s="2" t="str">
        <f>IF(C317="","",VLOOKUP(C317,[1]ISO辞書!A:C,2,FALSE))</f>
        <v/>
      </c>
      <c r="B317" s="3" t="str">
        <f>IF(C317="","",VLOOKUP(C317,[1]ISO辞書!A:C,3,FALSE))</f>
        <v/>
      </c>
      <c r="M317" s="2" t="str">
        <f>IF(J317="","",VLOOKUP(J317,[1]ISO辞書!A:B,2,FALSE))</f>
        <v/>
      </c>
      <c r="N317" s="2" t="str">
        <f>IF(K317="","",VLOOKUP(K317,[1]ISO辞書!A:B,2,FALSE))</f>
        <v/>
      </c>
      <c r="O317" s="2" t="str">
        <f>IF(L317="","",VLOOKUP(L317,[1]ISO辞書!A:B,2,FALSE))</f>
        <v/>
      </c>
      <c r="P317" s="3" t="str">
        <f t="shared" si="4"/>
        <v/>
      </c>
    </row>
    <row r="318" spans="1:16">
      <c r="A318" s="2" t="str">
        <f>IF(C318="","",VLOOKUP(C318,[1]ISO辞書!A:C,2,FALSE))</f>
        <v/>
      </c>
      <c r="B318" s="3" t="str">
        <f>IF(C318="","",VLOOKUP(C318,[1]ISO辞書!A:C,3,FALSE))</f>
        <v/>
      </c>
      <c r="M318" s="2" t="str">
        <f>IF(J318="","",VLOOKUP(J318,[1]ISO辞書!A:B,2,FALSE))</f>
        <v/>
      </c>
      <c r="N318" s="2" t="str">
        <f>IF(K318="","",VLOOKUP(K318,[1]ISO辞書!A:B,2,FALSE))</f>
        <v/>
      </c>
      <c r="O318" s="2" t="str">
        <f>IF(L318="","",VLOOKUP(L318,[1]ISO辞書!A:B,2,FALSE))</f>
        <v/>
      </c>
      <c r="P318" s="3" t="str">
        <f t="shared" si="4"/>
        <v/>
      </c>
    </row>
    <row r="319" spans="1:16">
      <c r="A319" s="2" t="str">
        <f>IF(C319="","",VLOOKUP(C319,[1]ISO辞書!A:C,2,FALSE))</f>
        <v/>
      </c>
      <c r="B319" s="3" t="str">
        <f>IF(C319="","",VLOOKUP(C319,[1]ISO辞書!A:C,3,FALSE))</f>
        <v/>
      </c>
      <c r="M319" s="2" t="str">
        <f>IF(J319="","",VLOOKUP(J319,[1]ISO辞書!A:B,2,FALSE))</f>
        <v/>
      </c>
      <c r="N319" s="2" t="str">
        <f>IF(K319="","",VLOOKUP(K319,[1]ISO辞書!A:B,2,FALSE))</f>
        <v/>
      </c>
      <c r="O319" s="2" t="str">
        <f>IF(L319="","",VLOOKUP(L319,[1]ISO辞書!A:B,2,FALSE))</f>
        <v/>
      </c>
      <c r="P319" s="3" t="str">
        <f t="shared" si="4"/>
        <v/>
      </c>
    </row>
    <row r="320" spans="1:16">
      <c r="A320" s="2" t="str">
        <f>IF(C320="","",VLOOKUP(C320,[1]ISO辞書!A:C,2,FALSE))</f>
        <v/>
      </c>
      <c r="B320" s="3" t="str">
        <f>IF(C320="","",VLOOKUP(C320,[1]ISO辞書!A:C,3,FALSE))</f>
        <v/>
      </c>
      <c r="M320" s="2" t="str">
        <f>IF(J320="","",VLOOKUP(J320,[1]ISO辞書!A:B,2,FALSE))</f>
        <v/>
      </c>
      <c r="N320" s="2" t="str">
        <f>IF(K320="","",VLOOKUP(K320,[1]ISO辞書!A:B,2,FALSE))</f>
        <v/>
      </c>
      <c r="O320" s="2" t="str">
        <f>IF(L320="","",VLOOKUP(L320,[1]ISO辞書!A:B,2,FALSE))</f>
        <v/>
      </c>
      <c r="P320" s="3" t="str">
        <f t="shared" si="4"/>
        <v/>
      </c>
    </row>
    <row r="321" spans="1:16">
      <c r="A321" s="2" t="str">
        <f>IF(C321="","",VLOOKUP(C321,[1]ISO辞書!A:C,2,FALSE))</f>
        <v/>
      </c>
      <c r="B321" s="3" t="str">
        <f>IF(C321="","",VLOOKUP(C321,[1]ISO辞書!A:C,3,FALSE))</f>
        <v/>
      </c>
      <c r="M321" s="2" t="str">
        <f>IF(J321="","",VLOOKUP(J321,[1]ISO辞書!A:B,2,FALSE))</f>
        <v/>
      </c>
      <c r="N321" s="2" t="str">
        <f>IF(K321="","",VLOOKUP(K321,[1]ISO辞書!A:B,2,FALSE))</f>
        <v/>
      </c>
      <c r="O321" s="2" t="str">
        <f>IF(L321="","",VLOOKUP(L321,[1]ISO辞書!A:B,2,FALSE))</f>
        <v/>
      </c>
      <c r="P321" s="3" t="str">
        <f t="shared" si="4"/>
        <v/>
      </c>
    </row>
    <row r="322" spans="1:16">
      <c r="A322" s="2" t="str">
        <f>IF(C322="","",VLOOKUP(C322,[1]ISO辞書!A:C,2,FALSE))</f>
        <v/>
      </c>
      <c r="B322" s="3" t="str">
        <f>IF(C322="","",VLOOKUP(C322,[1]ISO辞書!A:C,3,FALSE))</f>
        <v/>
      </c>
      <c r="M322" s="2" t="str">
        <f>IF(J322="","",VLOOKUP(J322,[1]ISO辞書!A:B,2,FALSE))</f>
        <v/>
      </c>
      <c r="N322" s="2" t="str">
        <f>IF(K322="","",VLOOKUP(K322,[1]ISO辞書!A:B,2,FALSE))</f>
        <v/>
      </c>
      <c r="O322" s="2" t="str">
        <f>IF(L322="","",VLOOKUP(L322,[1]ISO辞書!A:B,2,FALSE))</f>
        <v/>
      </c>
      <c r="P322" s="3" t="str">
        <f t="shared" ref="P322:P370" si="5">_xlfn.TEXTJOIN(";",TRUE,M322:O322)</f>
        <v/>
      </c>
    </row>
    <row r="323" spans="1:16">
      <c r="A323" s="2" t="str">
        <f>IF(C323="","",VLOOKUP(C323,[1]ISO辞書!A:C,2,FALSE))</f>
        <v/>
      </c>
      <c r="B323" s="3" t="str">
        <f>IF(C323="","",VLOOKUP(C323,[1]ISO辞書!A:C,3,FALSE))</f>
        <v/>
      </c>
      <c r="M323" s="2" t="str">
        <f>IF(J323="","",VLOOKUP(J323,[1]ISO辞書!A:B,2,FALSE))</f>
        <v/>
      </c>
      <c r="N323" s="2" t="str">
        <f>IF(K323="","",VLOOKUP(K323,[1]ISO辞書!A:B,2,FALSE))</f>
        <v/>
      </c>
      <c r="O323" s="2" t="str">
        <f>IF(L323="","",VLOOKUP(L323,[1]ISO辞書!A:B,2,FALSE))</f>
        <v/>
      </c>
      <c r="P323" s="3" t="str">
        <f t="shared" si="5"/>
        <v/>
      </c>
    </row>
    <row r="324" spans="1:16">
      <c r="A324" s="2" t="str">
        <f>IF(C324="","",VLOOKUP(C324,[1]ISO辞書!A:C,2,FALSE))</f>
        <v/>
      </c>
      <c r="B324" s="3" t="str">
        <f>IF(C324="","",VLOOKUP(C324,[1]ISO辞書!A:C,3,FALSE))</f>
        <v/>
      </c>
      <c r="M324" s="2" t="str">
        <f>IF(J324="","",VLOOKUP(J324,[1]ISO辞書!A:B,2,FALSE))</f>
        <v/>
      </c>
      <c r="N324" s="2" t="str">
        <f>IF(K324="","",VLOOKUP(K324,[1]ISO辞書!A:B,2,FALSE))</f>
        <v/>
      </c>
      <c r="O324" s="2" t="str">
        <f>IF(L324="","",VLOOKUP(L324,[1]ISO辞書!A:B,2,FALSE))</f>
        <v/>
      </c>
      <c r="P324" s="3" t="str">
        <f t="shared" si="5"/>
        <v/>
      </c>
    </row>
    <row r="325" spans="1:16">
      <c r="A325" s="2" t="str">
        <f>IF(C325="","",VLOOKUP(C325,[1]ISO辞書!A:C,2,FALSE))</f>
        <v/>
      </c>
      <c r="B325" s="3" t="str">
        <f>IF(C325="","",VLOOKUP(C325,[1]ISO辞書!A:C,3,FALSE))</f>
        <v/>
      </c>
      <c r="M325" s="2" t="str">
        <f>IF(J325="","",VLOOKUP(J325,[1]ISO辞書!A:B,2,FALSE))</f>
        <v/>
      </c>
      <c r="N325" s="2" t="str">
        <f>IF(K325="","",VLOOKUP(K325,[1]ISO辞書!A:B,2,FALSE))</f>
        <v/>
      </c>
      <c r="O325" s="2" t="str">
        <f>IF(L325="","",VLOOKUP(L325,[1]ISO辞書!A:B,2,FALSE))</f>
        <v/>
      </c>
      <c r="P325" s="3" t="str">
        <f t="shared" si="5"/>
        <v/>
      </c>
    </row>
    <row r="326" spans="1:16">
      <c r="A326" s="2" t="str">
        <f>IF(C326="","",VLOOKUP(C326,[1]ISO辞書!A:C,2,FALSE))</f>
        <v/>
      </c>
      <c r="B326" s="3" t="str">
        <f>IF(C326="","",VLOOKUP(C326,[1]ISO辞書!A:C,3,FALSE))</f>
        <v/>
      </c>
      <c r="M326" s="2" t="str">
        <f>IF(J326="","",VLOOKUP(J326,[1]ISO辞書!A:B,2,FALSE))</f>
        <v/>
      </c>
      <c r="N326" s="2" t="str">
        <f>IF(K326="","",VLOOKUP(K326,[1]ISO辞書!A:B,2,FALSE))</f>
        <v/>
      </c>
      <c r="O326" s="2" t="str">
        <f>IF(L326="","",VLOOKUP(L326,[1]ISO辞書!A:B,2,FALSE))</f>
        <v/>
      </c>
      <c r="P326" s="3" t="str">
        <f t="shared" si="5"/>
        <v/>
      </c>
    </row>
    <row r="327" spans="1:16">
      <c r="A327" s="2" t="str">
        <f>IF(C327="","",VLOOKUP(C327,[1]ISO辞書!A:C,2,FALSE))</f>
        <v/>
      </c>
      <c r="B327" s="3" t="str">
        <f>IF(C327="","",VLOOKUP(C327,[1]ISO辞書!A:C,3,FALSE))</f>
        <v/>
      </c>
      <c r="M327" s="2" t="str">
        <f>IF(J327="","",VLOOKUP(J327,[1]ISO辞書!A:B,2,FALSE))</f>
        <v/>
      </c>
      <c r="N327" s="2" t="str">
        <f>IF(K327="","",VLOOKUP(K327,[1]ISO辞書!A:B,2,FALSE))</f>
        <v/>
      </c>
      <c r="O327" s="2" t="str">
        <f>IF(L327="","",VLOOKUP(L327,[1]ISO辞書!A:B,2,FALSE))</f>
        <v/>
      </c>
      <c r="P327" s="3" t="str">
        <f t="shared" si="5"/>
        <v/>
      </c>
    </row>
    <row r="328" spans="1:16">
      <c r="A328" s="2" t="str">
        <f>IF(C328="","",VLOOKUP(C328,[1]ISO辞書!A:C,2,FALSE))</f>
        <v/>
      </c>
      <c r="B328" s="3" t="str">
        <f>IF(C328="","",VLOOKUP(C328,[1]ISO辞書!A:C,3,FALSE))</f>
        <v/>
      </c>
      <c r="M328" s="2" t="str">
        <f>IF(J328="","",VLOOKUP(J328,[1]ISO辞書!A:B,2,FALSE))</f>
        <v/>
      </c>
      <c r="N328" s="2" t="str">
        <f>IF(K328="","",VLOOKUP(K328,[1]ISO辞書!A:B,2,FALSE))</f>
        <v/>
      </c>
      <c r="O328" s="2" t="str">
        <f>IF(L328="","",VLOOKUP(L328,[1]ISO辞書!A:B,2,FALSE))</f>
        <v/>
      </c>
      <c r="P328" s="3" t="str">
        <f t="shared" si="5"/>
        <v/>
      </c>
    </row>
    <row r="329" spans="1:16">
      <c r="A329" s="2" t="str">
        <f>IF(C329="","",VLOOKUP(C329,[1]ISO辞書!A:C,2,FALSE))</f>
        <v/>
      </c>
      <c r="B329" s="3" t="str">
        <f>IF(C329="","",VLOOKUP(C329,[1]ISO辞書!A:C,3,FALSE))</f>
        <v/>
      </c>
      <c r="M329" s="2" t="str">
        <f>IF(J329="","",VLOOKUP(J329,[1]ISO辞書!A:B,2,FALSE))</f>
        <v/>
      </c>
      <c r="N329" s="2" t="str">
        <f>IF(K329="","",VLOOKUP(K329,[1]ISO辞書!A:B,2,FALSE))</f>
        <v/>
      </c>
      <c r="O329" s="2" t="str">
        <f>IF(L329="","",VLOOKUP(L329,[1]ISO辞書!A:B,2,FALSE))</f>
        <v/>
      </c>
      <c r="P329" s="3" t="str">
        <f t="shared" si="5"/>
        <v/>
      </c>
    </row>
    <row r="330" spans="1:16">
      <c r="A330" s="2" t="str">
        <f>IF(C330="","",VLOOKUP(C330,[1]ISO辞書!A:C,2,FALSE))</f>
        <v/>
      </c>
      <c r="B330" s="3" t="str">
        <f>IF(C330="","",VLOOKUP(C330,[1]ISO辞書!A:C,3,FALSE))</f>
        <v/>
      </c>
      <c r="M330" s="2" t="str">
        <f>IF(J330="","",VLOOKUP(J330,[1]ISO辞書!A:B,2,FALSE))</f>
        <v/>
      </c>
      <c r="N330" s="2" t="str">
        <f>IF(K330="","",VLOOKUP(K330,[1]ISO辞書!A:B,2,FALSE))</f>
        <v/>
      </c>
      <c r="O330" s="2" t="str">
        <f>IF(L330="","",VLOOKUP(L330,[1]ISO辞書!A:B,2,FALSE))</f>
        <v/>
      </c>
      <c r="P330" s="3" t="str">
        <f t="shared" si="5"/>
        <v/>
      </c>
    </row>
    <row r="331" spans="1:16">
      <c r="A331" s="2" t="str">
        <f>IF(C331="","",VLOOKUP(C331,[1]ISO辞書!A:C,2,FALSE))</f>
        <v/>
      </c>
      <c r="B331" s="3" t="str">
        <f>IF(C331="","",VLOOKUP(C331,[1]ISO辞書!A:C,3,FALSE))</f>
        <v/>
      </c>
      <c r="M331" s="2" t="str">
        <f>IF(J331="","",VLOOKUP(J331,[1]ISO辞書!A:B,2,FALSE))</f>
        <v/>
      </c>
      <c r="N331" s="2" t="str">
        <f>IF(K331="","",VLOOKUP(K331,[1]ISO辞書!A:B,2,FALSE))</f>
        <v/>
      </c>
      <c r="O331" s="2" t="str">
        <f>IF(L331="","",VLOOKUP(L331,[1]ISO辞書!A:B,2,FALSE))</f>
        <v/>
      </c>
      <c r="P331" s="3" t="str">
        <f t="shared" si="5"/>
        <v/>
      </c>
    </row>
    <row r="332" spans="1:16">
      <c r="A332" s="2" t="str">
        <f>IF(C332="","",VLOOKUP(C332,[1]ISO辞書!A:C,2,FALSE))</f>
        <v/>
      </c>
      <c r="B332" s="3" t="str">
        <f>IF(C332="","",VLOOKUP(C332,[1]ISO辞書!A:C,3,FALSE))</f>
        <v/>
      </c>
      <c r="M332" s="2" t="str">
        <f>IF(J332="","",VLOOKUP(J332,[1]ISO辞書!A:B,2,FALSE))</f>
        <v/>
      </c>
      <c r="N332" s="2" t="str">
        <f>IF(K332="","",VLOOKUP(K332,[1]ISO辞書!A:B,2,FALSE))</f>
        <v/>
      </c>
      <c r="O332" s="2" t="str">
        <f>IF(L332="","",VLOOKUP(L332,[1]ISO辞書!A:B,2,FALSE))</f>
        <v/>
      </c>
      <c r="P332" s="3" t="str">
        <f t="shared" si="5"/>
        <v/>
      </c>
    </row>
    <row r="333" spans="1:16">
      <c r="A333" s="2" t="str">
        <f>IF(C333="","",VLOOKUP(C333,[1]ISO辞書!A:C,2,FALSE))</f>
        <v/>
      </c>
      <c r="B333" s="3" t="str">
        <f>IF(C333="","",VLOOKUP(C333,[1]ISO辞書!A:C,3,FALSE))</f>
        <v/>
      </c>
      <c r="M333" s="2" t="str">
        <f>IF(J333="","",VLOOKUP(J333,[1]ISO辞書!A:B,2,FALSE))</f>
        <v/>
      </c>
      <c r="N333" s="2" t="str">
        <f>IF(K333="","",VLOOKUP(K333,[1]ISO辞書!A:B,2,FALSE))</f>
        <v/>
      </c>
      <c r="O333" s="2" t="str">
        <f>IF(L333="","",VLOOKUP(L333,[1]ISO辞書!A:B,2,FALSE))</f>
        <v/>
      </c>
      <c r="P333" s="3" t="str">
        <f t="shared" si="5"/>
        <v/>
      </c>
    </row>
    <row r="334" spans="1:16">
      <c r="A334" s="2" t="str">
        <f>IF(C334="","",VLOOKUP(C334,[1]ISO辞書!A:C,2,FALSE))</f>
        <v/>
      </c>
      <c r="B334" s="3" t="str">
        <f>IF(C334="","",VLOOKUP(C334,[1]ISO辞書!A:C,3,FALSE))</f>
        <v/>
      </c>
      <c r="M334" s="2" t="str">
        <f>IF(J334="","",VLOOKUP(J334,[1]ISO辞書!A:B,2,FALSE))</f>
        <v/>
      </c>
      <c r="N334" s="2" t="str">
        <f>IF(K334="","",VLOOKUP(K334,[1]ISO辞書!A:B,2,FALSE))</f>
        <v/>
      </c>
      <c r="O334" s="2" t="str">
        <f>IF(L334="","",VLOOKUP(L334,[1]ISO辞書!A:B,2,FALSE))</f>
        <v/>
      </c>
      <c r="P334" s="3" t="str">
        <f t="shared" si="5"/>
        <v/>
      </c>
    </row>
    <row r="335" spans="1:16">
      <c r="A335" s="2" t="str">
        <f>IF(C335="","",VLOOKUP(C335,[1]ISO辞書!A:C,2,FALSE))</f>
        <v/>
      </c>
      <c r="B335" s="3" t="str">
        <f>IF(C335="","",VLOOKUP(C335,[1]ISO辞書!A:C,3,FALSE))</f>
        <v/>
      </c>
      <c r="M335" s="2" t="str">
        <f>IF(J335="","",VLOOKUP(J335,[1]ISO辞書!A:B,2,FALSE))</f>
        <v/>
      </c>
      <c r="N335" s="2" t="str">
        <f>IF(K335="","",VLOOKUP(K335,[1]ISO辞書!A:B,2,FALSE))</f>
        <v/>
      </c>
      <c r="O335" s="2" t="str">
        <f>IF(L335="","",VLOOKUP(L335,[1]ISO辞書!A:B,2,FALSE))</f>
        <v/>
      </c>
      <c r="P335" s="3" t="str">
        <f t="shared" si="5"/>
        <v/>
      </c>
    </row>
    <row r="336" spans="1:16">
      <c r="A336" s="2" t="str">
        <f>IF(C336="","",VLOOKUP(C336,[1]ISO辞書!A:C,2,FALSE))</f>
        <v/>
      </c>
      <c r="B336" s="3" t="str">
        <f>IF(C336="","",VLOOKUP(C336,[1]ISO辞書!A:C,3,FALSE))</f>
        <v/>
      </c>
      <c r="M336" s="2" t="str">
        <f>IF(J336="","",VLOOKUP(J336,[1]ISO辞書!A:B,2,FALSE))</f>
        <v/>
      </c>
      <c r="N336" s="2" t="str">
        <f>IF(K336="","",VLOOKUP(K336,[1]ISO辞書!A:B,2,FALSE))</f>
        <v/>
      </c>
      <c r="O336" s="2" t="str">
        <f>IF(L336="","",VLOOKUP(L336,[1]ISO辞書!A:B,2,FALSE))</f>
        <v/>
      </c>
      <c r="P336" s="3" t="str">
        <f t="shared" si="5"/>
        <v/>
      </c>
    </row>
    <row r="337" spans="1:16">
      <c r="A337" s="2" t="str">
        <f>IF(C337="","",VLOOKUP(C337,[1]ISO辞書!A:C,2,FALSE))</f>
        <v/>
      </c>
      <c r="B337" s="3" t="str">
        <f>IF(C337="","",VLOOKUP(C337,[1]ISO辞書!A:C,3,FALSE))</f>
        <v/>
      </c>
      <c r="M337" s="2" t="str">
        <f>IF(J337="","",VLOOKUP(J337,[1]ISO辞書!A:B,2,FALSE))</f>
        <v/>
      </c>
      <c r="N337" s="2" t="str">
        <f>IF(K337="","",VLOOKUP(K337,[1]ISO辞書!A:B,2,FALSE))</f>
        <v/>
      </c>
      <c r="O337" s="2" t="str">
        <f>IF(L337="","",VLOOKUP(L337,[1]ISO辞書!A:B,2,FALSE))</f>
        <v/>
      </c>
      <c r="P337" s="3" t="str">
        <f t="shared" si="5"/>
        <v/>
      </c>
    </row>
    <row r="338" spans="1:16">
      <c r="A338" s="2" t="str">
        <f>IF(C338="","",VLOOKUP(C338,[1]ISO辞書!A:C,2,FALSE))</f>
        <v/>
      </c>
      <c r="B338" s="3" t="str">
        <f>IF(C338="","",VLOOKUP(C338,[1]ISO辞書!A:C,3,FALSE))</f>
        <v/>
      </c>
      <c r="M338" s="2" t="str">
        <f>IF(J338="","",VLOOKUP(J338,[1]ISO辞書!A:B,2,FALSE))</f>
        <v/>
      </c>
      <c r="N338" s="2" t="str">
        <f>IF(K338="","",VLOOKUP(K338,[1]ISO辞書!A:B,2,FALSE))</f>
        <v/>
      </c>
      <c r="O338" s="2" t="str">
        <f>IF(L338="","",VLOOKUP(L338,[1]ISO辞書!A:B,2,FALSE))</f>
        <v/>
      </c>
      <c r="P338" s="3" t="str">
        <f t="shared" si="5"/>
        <v/>
      </c>
    </row>
    <row r="339" spans="1:16">
      <c r="A339" s="2" t="str">
        <f>IF(C339="","",VLOOKUP(C339,[1]ISO辞書!A:C,2,FALSE))</f>
        <v/>
      </c>
      <c r="B339" s="3" t="str">
        <f>IF(C339="","",VLOOKUP(C339,[1]ISO辞書!A:C,3,FALSE))</f>
        <v/>
      </c>
      <c r="M339" s="2" t="str">
        <f>IF(J339="","",VLOOKUP(J339,[1]ISO辞書!A:B,2,FALSE))</f>
        <v/>
      </c>
      <c r="N339" s="2" t="str">
        <f>IF(K339="","",VLOOKUP(K339,[1]ISO辞書!A:B,2,FALSE))</f>
        <v/>
      </c>
      <c r="O339" s="2" t="str">
        <f>IF(L339="","",VLOOKUP(L339,[1]ISO辞書!A:B,2,FALSE))</f>
        <v/>
      </c>
      <c r="P339" s="3" t="str">
        <f t="shared" si="5"/>
        <v/>
      </c>
    </row>
    <row r="340" spans="1:16">
      <c r="A340" s="2" t="str">
        <f>IF(C340="","",VLOOKUP(C340,[1]ISO辞書!A:C,2,FALSE))</f>
        <v/>
      </c>
      <c r="B340" s="3" t="str">
        <f>IF(C340="","",VLOOKUP(C340,[1]ISO辞書!A:C,3,FALSE))</f>
        <v/>
      </c>
      <c r="M340" s="2" t="str">
        <f>IF(J340="","",VLOOKUP(J340,[1]ISO辞書!A:B,2,FALSE))</f>
        <v/>
      </c>
      <c r="N340" s="2" t="str">
        <f>IF(K340="","",VLOOKUP(K340,[1]ISO辞書!A:B,2,FALSE))</f>
        <v/>
      </c>
      <c r="O340" s="2" t="str">
        <f>IF(L340="","",VLOOKUP(L340,[1]ISO辞書!A:B,2,FALSE))</f>
        <v/>
      </c>
      <c r="P340" s="3" t="str">
        <f t="shared" si="5"/>
        <v/>
      </c>
    </row>
    <row r="341" spans="1:16">
      <c r="A341" s="2" t="str">
        <f>IF(C341="","",VLOOKUP(C341,[1]ISO辞書!A:C,2,FALSE))</f>
        <v/>
      </c>
      <c r="B341" s="3" t="str">
        <f>IF(C341="","",VLOOKUP(C341,[1]ISO辞書!A:C,3,FALSE))</f>
        <v/>
      </c>
      <c r="M341" s="2" t="str">
        <f>IF(J341="","",VLOOKUP(J341,[1]ISO辞書!A:B,2,FALSE))</f>
        <v/>
      </c>
      <c r="N341" s="2" t="str">
        <f>IF(K341="","",VLOOKUP(K341,[1]ISO辞書!A:B,2,FALSE))</f>
        <v/>
      </c>
      <c r="O341" s="2" t="str">
        <f>IF(L341="","",VLOOKUP(L341,[1]ISO辞書!A:B,2,FALSE))</f>
        <v/>
      </c>
      <c r="P341" s="3" t="str">
        <f t="shared" si="5"/>
        <v/>
      </c>
    </row>
    <row r="342" spans="1:16">
      <c r="A342" s="2" t="str">
        <f>IF(C342="","",VLOOKUP(C342,[1]ISO辞書!A:C,2,FALSE))</f>
        <v/>
      </c>
      <c r="B342" s="3" t="str">
        <f>IF(C342="","",VLOOKUP(C342,[1]ISO辞書!A:C,3,FALSE))</f>
        <v/>
      </c>
      <c r="M342" s="2" t="str">
        <f>IF(J342="","",VLOOKUP(J342,[1]ISO辞書!A:B,2,FALSE))</f>
        <v/>
      </c>
      <c r="N342" s="2" t="str">
        <f>IF(K342="","",VLOOKUP(K342,[1]ISO辞書!A:B,2,FALSE))</f>
        <v/>
      </c>
      <c r="O342" s="2" t="str">
        <f>IF(L342="","",VLOOKUP(L342,[1]ISO辞書!A:B,2,FALSE))</f>
        <v/>
      </c>
      <c r="P342" s="3" t="str">
        <f t="shared" si="5"/>
        <v/>
      </c>
    </row>
    <row r="343" spans="1:16">
      <c r="A343" s="2" t="str">
        <f>IF(C343="","",VLOOKUP(C343,[1]ISO辞書!A:C,2,FALSE))</f>
        <v/>
      </c>
      <c r="B343" s="3" t="str">
        <f>IF(C343="","",VLOOKUP(C343,[1]ISO辞書!A:C,3,FALSE))</f>
        <v/>
      </c>
      <c r="M343" s="2" t="str">
        <f>IF(J343="","",VLOOKUP(J343,[1]ISO辞書!A:B,2,FALSE))</f>
        <v/>
      </c>
      <c r="N343" s="2" t="str">
        <f>IF(K343="","",VLOOKUP(K343,[1]ISO辞書!A:B,2,FALSE))</f>
        <v/>
      </c>
      <c r="O343" s="2" t="str">
        <f>IF(L343="","",VLOOKUP(L343,[1]ISO辞書!A:B,2,FALSE))</f>
        <v/>
      </c>
      <c r="P343" s="3" t="str">
        <f t="shared" si="5"/>
        <v/>
      </c>
    </row>
    <row r="344" spans="1:16">
      <c r="A344" s="2" t="str">
        <f>IF(C344="","",VLOOKUP(C344,[1]ISO辞書!A:C,2,FALSE))</f>
        <v/>
      </c>
      <c r="B344" s="3" t="str">
        <f>IF(C344="","",VLOOKUP(C344,[1]ISO辞書!A:C,3,FALSE))</f>
        <v/>
      </c>
      <c r="M344" s="2" t="str">
        <f>IF(J344="","",VLOOKUP(J344,[1]ISO辞書!A:B,2,FALSE))</f>
        <v/>
      </c>
      <c r="N344" s="2" t="str">
        <f>IF(K344="","",VLOOKUP(K344,[1]ISO辞書!A:B,2,FALSE))</f>
        <v/>
      </c>
      <c r="O344" s="2" t="str">
        <f>IF(L344="","",VLOOKUP(L344,[1]ISO辞書!A:B,2,FALSE))</f>
        <v/>
      </c>
      <c r="P344" s="3" t="str">
        <f t="shared" si="5"/>
        <v/>
      </c>
    </row>
    <row r="345" spans="1:16">
      <c r="A345" s="2" t="str">
        <f>IF(C345="","",VLOOKUP(C345,[1]ISO辞書!A:C,2,FALSE))</f>
        <v/>
      </c>
      <c r="B345" s="3" t="str">
        <f>IF(C345="","",VLOOKUP(C345,[1]ISO辞書!A:C,3,FALSE))</f>
        <v/>
      </c>
      <c r="M345" s="2" t="str">
        <f>IF(J345="","",VLOOKUP(J345,[1]ISO辞書!A:B,2,FALSE))</f>
        <v/>
      </c>
      <c r="N345" s="2" t="str">
        <f>IF(K345="","",VLOOKUP(K345,[1]ISO辞書!A:B,2,FALSE))</f>
        <v/>
      </c>
      <c r="O345" s="2" t="str">
        <f>IF(L345="","",VLOOKUP(L345,[1]ISO辞書!A:B,2,FALSE))</f>
        <v/>
      </c>
      <c r="P345" s="3" t="str">
        <f t="shared" si="5"/>
        <v/>
      </c>
    </row>
    <row r="346" spans="1:16">
      <c r="A346" s="2" t="str">
        <f>IF(C346="","",VLOOKUP(C346,[1]ISO辞書!A:C,2,FALSE))</f>
        <v/>
      </c>
      <c r="B346" s="3" t="str">
        <f>IF(C346="","",VLOOKUP(C346,[1]ISO辞書!A:C,3,FALSE))</f>
        <v/>
      </c>
      <c r="M346" s="2" t="str">
        <f>IF(J346="","",VLOOKUP(J346,[1]ISO辞書!A:B,2,FALSE))</f>
        <v/>
      </c>
      <c r="N346" s="2" t="str">
        <f>IF(K346="","",VLOOKUP(K346,[1]ISO辞書!A:B,2,FALSE))</f>
        <v/>
      </c>
      <c r="O346" s="2" t="str">
        <f>IF(L346="","",VLOOKUP(L346,[1]ISO辞書!A:B,2,FALSE))</f>
        <v/>
      </c>
      <c r="P346" s="3" t="str">
        <f t="shared" si="5"/>
        <v/>
      </c>
    </row>
    <row r="347" spans="1:16">
      <c r="A347" s="2" t="str">
        <f>IF(C347="","",VLOOKUP(C347,[1]ISO辞書!A:C,2,FALSE))</f>
        <v/>
      </c>
      <c r="B347" s="3" t="str">
        <f>IF(C347="","",VLOOKUP(C347,[1]ISO辞書!A:C,3,FALSE))</f>
        <v/>
      </c>
      <c r="M347" s="2" t="str">
        <f>IF(J347="","",VLOOKUP(J347,[1]ISO辞書!A:B,2,FALSE))</f>
        <v/>
      </c>
      <c r="N347" s="2" t="str">
        <f>IF(K347="","",VLOOKUP(K347,[1]ISO辞書!A:B,2,FALSE))</f>
        <v/>
      </c>
      <c r="O347" s="2" t="str">
        <f>IF(L347="","",VLOOKUP(L347,[1]ISO辞書!A:B,2,FALSE))</f>
        <v/>
      </c>
      <c r="P347" s="3" t="str">
        <f t="shared" si="5"/>
        <v/>
      </c>
    </row>
    <row r="348" spans="1:16">
      <c r="A348" s="2" t="str">
        <f>IF(C348="","",VLOOKUP(C348,[1]ISO辞書!A:C,2,FALSE))</f>
        <v/>
      </c>
      <c r="B348" s="3" t="str">
        <f>IF(C348="","",VLOOKUP(C348,[1]ISO辞書!A:C,3,FALSE))</f>
        <v/>
      </c>
      <c r="M348" s="2" t="str">
        <f>IF(J348="","",VLOOKUP(J348,[1]ISO辞書!A:B,2,FALSE))</f>
        <v/>
      </c>
      <c r="N348" s="2" t="str">
        <f>IF(K348="","",VLOOKUP(K348,[1]ISO辞書!A:B,2,FALSE))</f>
        <v/>
      </c>
      <c r="O348" s="2" t="str">
        <f>IF(L348="","",VLOOKUP(L348,[1]ISO辞書!A:B,2,FALSE))</f>
        <v/>
      </c>
      <c r="P348" s="3" t="str">
        <f t="shared" si="5"/>
        <v/>
      </c>
    </row>
    <row r="349" spans="1:16">
      <c r="A349" s="2" t="str">
        <f>IF(C349="","",VLOOKUP(C349,[1]ISO辞書!A:C,2,FALSE))</f>
        <v/>
      </c>
      <c r="B349" s="3" t="str">
        <f>IF(C349="","",VLOOKUP(C349,[1]ISO辞書!A:C,3,FALSE))</f>
        <v/>
      </c>
      <c r="M349" s="2" t="str">
        <f>IF(J349="","",VLOOKUP(J349,[1]ISO辞書!A:B,2,FALSE))</f>
        <v/>
      </c>
      <c r="N349" s="2" t="str">
        <f>IF(K349="","",VLOOKUP(K349,[1]ISO辞書!A:B,2,FALSE))</f>
        <v/>
      </c>
      <c r="O349" s="2" t="str">
        <f>IF(L349="","",VLOOKUP(L349,[1]ISO辞書!A:B,2,FALSE))</f>
        <v/>
      </c>
      <c r="P349" s="3" t="str">
        <f t="shared" si="5"/>
        <v/>
      </c>
    </row>
    <row r="350" spans="1:16">
      <c r="A350" s="2" t="str">
        <f>IF(C350="","",VLOOKUP(C350,[1]ISO辞書!A:C,2,FALSE))</f>
        <v/>
      </c>
      <c r="B350" s="3" t="str">
        <f>IF(C350="","",VLOOKUP(C350,[1]ISO辞書!A:C,3,FALSE))</f>
        <v/>
      </c>
      <c r="M350" s="2" t="str">
        <f>IF(J350="","",VLOOKUP(J350,[1]ISO辞書!A:B,2,FALSE))</f>
        <v/>
      </c>
      <c r="N350" s="2" t="str">
        <f>IF(K350="","",VLOOKUP(K350,[1]ISO辞書!A:B,2,FALSE))</f>
        <v/>
      </c>
      <c r="O350" s="2" t="str">
        <f>IF(L350="","",VLOOKUP(L350,[1]ISO辞書!A:B,2,FALSE))</f>
        <v/>
      </c>
      <c r="P350" s="3" t="str">
        <f t="shared" si="5"/>
        <v/>
      </c>
    </row>
    <row r="351" spans="1:16">
      <c r="A351" s="2" t="str">
        <f>IF(C351="","",VLOOKUP(C351,[1]ISO辞書!A:C,2,FALSE))</f>
        <v/>
      </c>
      <c r="B351" s="3" t="str">
        <f>IF(C351="","",VLOOKUP(C351,[1]ISO辞書!A:C,3,FALSE))</f>
        <v/>
      </c>
      <c r="M351" s="2" t="str">
        <f>IF(J351="","",VLOOKUP(J351,[1]ISO辞書!A:B,2,FALSE))</f>
        <v/>
      </c>
      <c r="N351" s="2" t="str">
        <f>IF(K351="","",VLOOKUP(K351,[1]ISO辞書!A:B,2,FALSE))</f>
        <v/>
      </c>
      <c r="O351" s="2" t="str">
        <f>IF(L351="","",VLOOKUP(L351,[1]ISO辞書!A:B,2,FALSE))</f>
        <v/>
      </c>
      <c r="P351" s="3" t="str">
        <f t="shared" si="5"/>
        <v/>
      </c>
    </row>
    <row r="352" spans="1:16">
      <c r="A352" s="2" t="str">
        <f>IF(C352="","",VLOOKUP(C352,[1]ISO辞書!A:C,2,FALSE))</f>
        <v/>
      </c>
      <c r="B352" s="3" t="str">
        <f>IF(C352="","",VLOOKUP(C352,[1]ISO辞書!A:C,3,FALSE))</f>
        <v/>
      </c>
      <c r="M352" s="2" t="str">
        <f>IF(J352="","",VLOOKUP(J352,[1]ISO辞書!A:B,2,FALSE))</f>
        <v/>
      </c>
      <c r="N352" s="2" t="str">
        <f>IF(K352="","",VLOOKUP(K352,[1]ISO辞書!A:B,2,FALSE))</f>
        <v/>
      </c>
      <c r="O352" s="2" t="str">
        <f>IF(L352="","",VLOOKUP(L352,[1]ISO辞書!A:B,2,FALSE))</f>
        <v/>
      </c>
      <c r="P352" s="3" t="str">
        <f t="shared" si="5"/>
        <v/>
      </c>
    </row>
    <row r="353" spans="1:16">
      <c r="A353" s="2" t="str">
        <f>IF(C353="","",VLOOKUP(C353,[1]ISO辞書!A:C,2,FALSE))</f>
        <v/>
      </c>
      <c r="B353" s="3" t="str">
        <f>IF(C353="","",VLOOKUP(C353,[1]ISO辞書!A:C,3,FALSE))</f>
        <v/>
      </c>
      <c r="M353" s="2" t="str">
        <f>IF(J353="","",VLOOKUP(J353,[1]ISO辞書!A:B,2,FALSE))</f>
        <v/>
      </c>
      <c r="N353" s="2" t="str">
        <f>IF(K353="","",VLOOKUP(K353,[1]ISO辞書!A:B,2,FALSE))</f>
        <v/>
      </c>
      <c r="O353" s="2" t="str">
        <f>IF(L353="","",VLOOKUP(L353,[1]ISO辞書!A:B,2,FALSE))</f>
        <v/>
      </c>
      <c r="P353" s="3" t="str">
        <f t="shared" si="5"/>
        <v/>
      </c>
    </row>
    <row r="354" spans="1:16">
      <c r="A354" s="2" t="str">
        <f>IF(C354="","",VLOOKUP(C354,[1]ISO辞書!A:C,2,FALSE))</f>
        <v/>
      </c>
      <c r="B354" s="3" t="str">
        <f>IF(C354="","",VLOOKUP(C354,[1]ISO辞書!A:C,3,FALSE))</f>
        <v/>
      </c>
      <c r="M354" s="2" t="str">
        <f>IF(J354="","",VLOOKUP(J354,[1]ISO辞書!A:B,2,FALSE))</f>
        <v/>
      </c>
      <c r="N354" s="2" t="str">
        <f>IF(K354="","",VLOOKUP(K354,[1]ISO辞書!A:B,2,FALSE))</f>
        <v/>
      </c>
      <c r="O354" s="2" t="str">
        <f>IF(L354="","",VLOOKUP(L354,[1]ISO辞書!A:B,2,FALSE))</f>
        <v/>
      </c>
      <c r="P354" s="3" t="str">
        <f t="shared" si="5"/>
        <v/>
      </c>
    </row>
    <row r="355" spans="1:16">
      <c r="A355" s="2" t="str">
        <f>IF(C355="","",VLOOKUP(C355,[1]ISO辞書!A:C,2,FALSE))</f>
        <v/>
      </c>
      <c r="B355" s="3" t="str">
        <f>IF(C355="","",VLOOKUP(C355,[1]ISO辞書!A:C,3,FALSE))</f>
        <v/>
      </c>
      <c r="M355" s="2" t="str">
        <f>IF(J355="","",VLOOKUP(J355,[1]ISO辞書!A:B,2,FALSE))</f>
        <v/>
      </c>
      <c r="N355" s="2" t="str">
        <f>IF(K355="","",VLOOKUP(K355,[1]ISO辞書!A:B,2,FALSE))</f>
        <v/>
      </c>
      <c r="O355" s="2" t="str">
        <f>IF(L355="","",VLOOKUP(L355,[1]ISO辞書!A:B,2,FALSE))</f>
        <v/>
      </c>
      <c r="P355" s="3" t="str">
        <f t="shared" si="5"/>
        <v/>
      </c>
    </row>
    <row r="356" spans="1:16">
      <c r="A356" s="2" t="str">
        <f>IF(C356="","",VLOOKUP(C356,[1]ISO辞書!A:C,2,FALSE))</f>
        <v/>
      </c>
      <c r="B356" s="3" t="str">
        <f>IF(C356="","",VLOOKUP(C356,[1]ISO辞書!A:C,3,FALSE))</f>
        <v/>
      </c>
      <c r="M356" s="2" t="str">
        <f>IF(J356="","",VLOOKUP(J356,[1]ISO辞書!A:B,2,FALSE))</f>
        <v/>
      </c>
      <c r="N356" s="2" t="str">
        <f>IF(K356="","",VLOOKUP(K356,[1]ISO辞書!A:B,2,FALSE))</f>
        <v/>
      </c>
      <c r="O356" s="2" t="str">
        <f>IF(L356="","",VLOOKUP(L356,[1]ISO辞書!A:B,2,FALSE))</f>
        <v/>
      </c>
      <c r="P356" s="3" t="str">
        <f t="shared" si="5"/>
        <v/>
      </c>
    </row>
    <row r="357" spans="1:16">
      <c r="A357" s="2" t="str">
        <f>IF(C357="","",VLOOKUP(C357,[1]ISO辞書!A:C,2,FALSE))</f>
        <v/>
      </c>
      <c r="B357" s="3" t="str">
        <f>IF(C357="","",VLOOKUP(C357,[1]ISO辞書!A:C,3,FALSE))</f>
        <v/>
      </c>
      <c r="M357" s="2" t="str">
        <f>IF(J357="","",VLOOKUP(J357,[1]ISO辞書!A:B,2,FALSE))</f>
        <v/>
      </c>
      <c r="N357" s="2" t="str">
        <f>IF(K357="","",VLOOKUP(K357,[1]ISO辞書!A:B,2,FALSE))</f>
        <v/>
      </c>
      <c r="O357" s="2" t="str">
        <f>IF(L357="","",VLOOKUP(L357,[1]ISO辞書!A:B,2,FALSE))</f>
        <v/>
      </c>
      <c r="P357" s="3" t="str">
        <f t="shared" si="5"/>
        <v/>
      </c>
    </row>
    <row r="358" spans="1:16">
      <c r="A358" s="2" t="str">
        <f>IF(C358="","",VLOOKUP(C358,[1]ISO辞書!A:C,2,FALSE))</f>
        <v/>
      </c>
      <c r="B358" s="3" t="str">
        <f>IF(C358="","",VLOOKUP(C358,[1]ISO辞書!A:C,3,FALSE))</f>
        <v/>
      </c>
      <c r="M358" s="2" t="str">
        <f>IF(J358="","",VLOOKUP(J358,[1]ISO辞書!A:B,2,FALSE))</f>
        <v/>
      </c>
      <c r="N358" s="2" t="str">
        <f>IF(K358="","",VLOOKUP(K358,[1]ISO辞書!A:B,2,FALSE))</f>
        <v/>
      </c>
      <c r="O358" s="2" t="str">
        <f>IF(L358="","",VLOOKUP(L358,[1]ISO辞書!A:B,2,FALSE))</f>
        <v/>
      </c>
      <c r="P358" s="3" t="str">
        <f t="shared" si="5"/>
        <v/>
      </c>
    </row>
    <row r="359" spans="1:16">
      <c r="A359" s="2" t="str">
        <f>IF(C359="","",VLOOKUP(C359,[1]ISO辞書!A:C,2,FALSE))</f>
        <v/>
      </c>
      <c r="B359" s="3" t="str">
        <f>IF(C359="","",VLOOKUP(C359,[1]ISO辞書!A:C,3,FALSE))</f>
        <v/>
      </c>
      <c r="M359" s="2" t="str">
        <f>IF(J359="","",VLOOKUP(J359,[1]ISO辞書!A:B,2,FALSE))</f>
        <v/>
      </c>
      <c r="N359" s="2" t="str">
        <f>IF(K359="","",VLOOKUP(K359,[1]ISO辞書!A:B,2,FALSE))</f>
        <v/>
      </c>
      <c r="O359" s="2" t="str">
        <f>IF(L359="","",VLOOKUP(L359,[1]ISO辞書!A:B,2,FALSE))</f>
        <v/>
      </c>
      <c r="P359" s="3" t="str">
        <f t="shared" si="5"/>
        <v/>
      </c>
    </row>
    <row r="360" spans="1:16">
      <c r="A360" s="2" t="str">
        <f>IF(C360="","",VLOOKUP(C360,[1]ISO辞書!A:C,2,FALSE))</f>
        <v/>
      </c>
      <c r="B360" s="3" t="str">
        <f>IF(C360="","",VLOOKUP(C360,[1]ISO辞書!A:C,3,FALSE))</f>
        <v/>
      </c>
      <c r="M360" s="2" t="str">
        <f>IF(J360="","",VLOOKUP(J360,[1]ISO辞書!A:B,2,FALSE))</f>
        <v/>
      </c>
      <c r="N360" s="2" t="str">
        <f>IF(K360="","",VLOOKUP(K360,[1]ISO辞書!A:B,2,FALSE))</f>
        <v/>
      </c>
      <c r="O360" s="2" t="str">
        <f>IF(L360="","",VLOOKUP(L360,[1]ISO辞書!A:B,2,FALSE))</f>
        <v/>
      </c>
      <c r="P360" s="3" t="str">
        <f t="shared" si="5"/>
        <v/>
      </c>
    </row>
    <row r="361" spans="1:16">
      <c r="A361" s="2" t="str">
        <f>IF(C361="","",VLOOKUP(C361,[1]ISO辞書!A:C,2,FALSE))</f>
        <v/>
      </c>
      <c r="B361" s="3" t="str">
        <f>IF(C361="","",VLOOKUP(C361,[1]ISO辞書!A:C,3,FALSE))</f>
        <v/>
      </c>
      <c r="M361" s="2" t="str">
        <f>IF(J361="","",VLOOKUP(J361,[1]ISO辞書!A:B,2,FALSE))</f>
        <v/>
      </c>
      <c r="N361" s="2" t="str">
        <f>IF(K361="","",VLOOKUP(K361,[1]ISO辞書!A:B,2,FALSE))</f>
        <v/>
      </c>
      <c r="O361" s="2" t="str">
        <f>IF(L361="","",VLOOKUP(L361,[1]ISO辞書!A:B,2,FALSE))</f>
        <v/>
      </c>
      <c r="P361" s="3" t="str">
        <f t="shared" si="5"/>
        <v/>
      </c>
    </row>
    <row r="362" spans="1:16">
      <c r="A362" s="2" t="str">
        <f>IF(C362="","",VLOOKUP(C362,[1]ISO辞書!A:C,2,FALSE))</f>
        <v/>
      </c>
      <c r="B362" s="3" t="str">
        <f>IF(C362="","",VLOOKUP(C362,[1]ISO辞書!A:C,3,FALSE))</f>
        <v/>
      </c>
      <c r="M362" s="2" t="str">
        <f>IF(J362="","",VLOOKUP(J362,[1]ISO辞書!A:B,2,FALSE))</f>
        <v/>
      </c>
      <c r="N362" s="2" t="str">
        <f>IF(K362="","",VLOOKUP(K362,[1]ISO辞書!A:B,2,FALSE))</f>
        <v/>
      </c>
      <c r="O362" s="2" t="str">
        <f>IF(L362="","",VLOOKUP(L362,[1]ISO辞書!A:B,2,FALSE))</f>
        <v/>
      </c>
      <c r="P362" s="3" t="str">
        <f t="shared" si="5"/>
        <v/>
      </c>
    </row>
    <row r="363" spans="1:16">
      <c r="A363" s="2" t="str">
        <f>IF(C363="","",VLOOKUP(C363,[1]ISO辞書!A:C,2,FALSE))</f>
        <v/>
      </c>
      <c r="B363" s="3" t="str">
        <f>IF(C363="","",VLOOKUP(C363,[1]ISO辞書!A:C,3,FALSE))</f>
        <v/>
      </c>
      <c r="M363" s="2" t="str">
        <f>IF(J363="","",VLOOKUP(J363,[1]ISO辞書!A:B,2,FALSE))</f>
        <v/>
      </c>
      <c r="N363" s="2" t="str">
        <f>IF(K363="","",VLOOKUP(K363,[1]ISO辞書!A:B,2,FALSE))</f>
        <v/>
      </c>
      <c r="O363" s="2" t="str">
        <f>IF(L363="","",VLOOKUP(L363,[1]ISO辞書!A:B,2,FALSE))</f>
        <v/>
      </c>
      <c r="P363" s="3" t="str">
        <f t="shared" si="5"/>
        <v/>
      </c>
    </row>
    <row r="364" spans="1:16">
      <c r="A364" s="2" t="str">
        <f>IF(C364="","",VLOOKUP(C364,[1]ISO辞書!A:C,2,FALSE))</f>
        <v/>
      </c>
      <c r="B364" s="3" t="str">
        <f>IF(C364="","",VLOOKUP(C364,[1]ISO辞書!A:C,3,FALSE))</f>
        <v/>
      </c>
      <c r="M364" s="2" t="str">
        <f>IF(J364="","",VLOOKUP(J364,[1]ISO辞書!A:B,2,FALSE))</f>
        <v/>
      </c>
      <c r="N364" s="2" t="str">
        <f>IF(K364="","",VLOOKUP(K364,[1]ISO辞書!A:B,2,FALSE))</f>
        <v/>
      </c>
      <c r="O364" s="2" t="str">
        <f>IF(L364="","",VLOOKUP(L364,[1]ISO辞書!A:B,2,FALSE))</f>
        <v/>
      </c>
      <c r="P364" s="3" t="str">
        <f t="shared" si="5"/>
        <v/>
      </c>
    </row>
    <row r="365" spans="1:16">
      <c r="A365" s="2" t="str">
        <f>IF(C365="","",VLOOKUP(C365,[1]ISO辞書!A:C,2,FALSE))</f>
        <v/>
      </c>
      <c r="B365" s="3" t="str">
        <f>IF(C365="","",VLOOKUP(C365,[1]ISO辞書!A:C,3,FALSE))</f>
        <v/>
      </c>
      <c r="M365" s="2" t="str">
        <f>IF(J365="","",VLOOKUP(J365,[1]ISO辞書!A:B,2,FALSE))</f>
        <v/>
      </c>
      <c r="N365" s="2" t="str">
        <f>IF(K365="","",VLOOKUP(K365,[1]ISO辞書!A:B,2,FALSE))</f>
        <v/>
      </c>
      <c r="O365" s="2" t="str">
        <f>IF(L365="","",VLOOKUP(L365,[1]ISO辞書!A:B,2,FALSE))</f>
        <v/>
      </c>
      <c r="P365" s="3" t="str">
        <f t="shared" si="5"/>
        <v/>
      </c>
    </row>
    <row r="366" spans="1:16">
      <c r="A366" s="2" t="str">
        <f>IF(C366="","",VLOOKUP(C366,[1]ISO辞書!A:C,2,FALSE))</f>
        <v/>
      </c>
      <c r="B366" s="3" t="str">
        <f>IF(C366="","",VLOOKUP(C366,[1]ISO辞書!A:C,3,FALSE))</f>
        <v/>
      </c>
      <c r="M366" s="2" t="str">
        <f>IF(J366="","",VLOOKUP(J366,[1]ISO辞書!A:B,2,FALSE))</f>
        <v/>
      </c>
      <c r="N366" s="2" t="str">
        <f>IF(K366="","",VLOOKUP(K366,[1]ISO辞書!A:B,2,FALSE))</f>
        <v/>
      </c>
      <c r="O366" s="2" t="str">
        <f>IF(L366="","",VLOOKUP(L366,[1]ISO辞書!A:B,2,FALSE))</f>
        <v/>
      </c>
      <c r="P366" s="3" t="str">
        <f t="shared" si="5"/>
        <v/>
      </c>
    </row>
    <row r="367" spans="1:16">
      <c r="A367" s="2" t="str">
        <f>IF(C367="","",VLOOKUP(C367,[1]ISO辞書!A:C,2,FALSE))</f>
        <v/>
      </c>
      <c r="B367" s="3" t="str">
        <f>IF(C367="","",VLOOKUP(C367,[1]ISO辞書!A:C,3,FALSE))</f>
        <v/>
      </c>
      <c r="M367" s="2" t="str">
        <f>IF(J367="","",VLOOKUP(J367,[1]ISO辞書!A:B,2,FALSE))</f>
        <v/>
      </c>
      <c r="N367" s="2" t="str">
        <f>IF(K367="","",VLOOKUP(K367,[1]ISO辞書!A:B,2,FALSE))</f>
        <v/>
      </c>
      <c r="O367" s="2" t="str">
        <f>IF(L367="","",VLOOKUP(L367,[1]ISO辞書!A:B,2,FALSE))</f>
        <v/>
      </c>
      <c r="P367" s="3" t="str">
        <f t="shared" si="5"/>
        <v/>
      </c>
    </row>
    <row r="368" spans="1:16">
      <c r="A368" s="2" t="str">
        <f>IF(C368="","",VLOOKUP(C368,[1]ISO辞書!A:C,2,FALSE))</f>
        <v/>
      </c>
      <c r="B368" s="3" t="str">
        <f>IF(C368="","",VLOOKUP(C368,[1]ISO辞書!A:C,3,FALSE))</f>
        <v/>
      </c>
      <c r="M368" s="2" t="str">
        <f>IF(J368="","",VLOOKUP(J368,[1]ISO辞書!A:B,2,FALSE))</f>
        <v/>
      </c>
      <c r="N368" s="2" t="str">
        <f>IF(K368="","",VLOOKUP(K368,[1]ISO辞書!A:B,2,FALSE))</f>
        <v/>
      </c>
      <c r="O368" s="2" t="str">
        <f>IF(L368="","",VLOOKUP(L368,[1]ISO辞書!A:B,2,FALSE))</f>
        <v/>
      </c>
      <c r="P368" s="3" t="str">
        <f t="shared" si="5"/>
        <v/>
      </c>
    </row>
    <row r="369" spans="1:16">
      <c r="A369" s="2" t="str">
        <f>IF(C369="","",VLOOKUP(C369,[1]ISO辞書!A:C,2,FALSE))</f>
        <v/>
      </c>
      <c r="B369" s="3" t="str">
        <f>IF(C369="","",VLOOKUP(C369,[1]ISO辞書!A:C,3,FALSE))</f>
        <v/>
      </c>
      <c r="M369" s="2" t="str">
        <f>IF(J369="","",VLOOKUP(J369,[1]ISO辞書!A:B,2,FALSE))</f>
        <v/>
      </c>
      <c r="N369" s="2" t="str">
        <f>IF(K369="","",VLOOKUP(K369,[1]ISO辞書!A:B,2,FALSE))</f>
        <v/>
      </c>
      <c r="O369" s="2" t="str">
        <f>IF(L369="","",VLOOKUP(L369,[1]ISO辞書!A:B,2,FALSE))</f>
        <v/>
      </c>
      <c r="P369" s="3" t="str">
        <f t="shared" si="5"/>
        <v/>
      </c>
    </row>
    <row r="370" spans="1:16">
      <c r="M370" s="2" t="str">
        <f>IF(J370="","",VLOOKUP(J370,[1]ISO辞書!A:B,2,FALSE))</f>
        <v/>
      </c>
      <c r="N370" s="2" t="str">
        <f>IF(K370="","",VLOOKUP(K370,[1]ISO辞書!A:B,2,FALSE))</f>
        <v/>
      </c>
      <c r="O370" s="2" t="str">
        <f>IF(L370="","",VLOOKUP(L370,[1]ISO辞書!A:B,2,FALSE))</f>
        <v/>
      </c>
      <c r="P370" s="3" t="str">
        <f t="shared" si="5"/>
        <v/>
      </c>
    </row>
  </sheetData>
  <autoFilter ref="A1:V370" xr:uid="{11153815-6F7F-462F-8165-5CE05A98A928}">
    <sortState xmlns:xlrd2="http://schemas.microsoft.com/office/spreadsheetml/2017/richdata2" ref="A2:V370">
      <sortCondition ref="S1:S370"/>
    </sortState>
  </autoFilter>
  <phoneticPr fontId="18"/>
  <hyperlinks>
    <hyperlink ref="U7" r:id="rId1" xr:uid="{B2B6E0E5-9387-475B-9F4B-ACDF1B43A472}"/>
    <hyperlink ref="U35" r:id="rId2" xr:uid="{986F3D43-7B5A-48C0-A47B-A7E7119BCBD9}"/>
    <hyperlink ref="U45" r:id="rId3" xr:uid="{CAB2C613-E685-436C-AA62-7678804484F9}"/>
    <hyperlink ref="U46" r:id="rId4" xr:uid="{B735F61B-7109-4112-8AD5-8A0DE0EE4130}"/>
    <hyperlink ref="U122" r:id="rId5" xr:uid="{7A7EACA8-130A-4B97-AD1E-F8E11AE4B691}"/>
    <hyperlink ref="U186" r:id="rId6" xr:uid="{AC5420A9-A336-40E2-8D12-313E09D20CCB}"/>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events-入力用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遠藤篤</dc:creator>
  <cp:lastModifiedBy>篤 遠藤</cp:lastModifiedBy>
  <dcterms:created xsi:type="dcterms:W3CDTF">2026-03-29T02:56:09Z</dcterms:created>
  <dcterms:modified xsi:type="dcterms:W3CDTF">2026-04-26T11:12:59Z</dcterms:modified>
</cp:coreProperties>
</file>