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G:\world_map_project\world-map-news-app\public\data\"/>
    </mc:Choice>
  </mc:AlternateContent>
  <xr:revisionPtr revIDLastSave="0" documentId="13_ncr:1_{8B2C7623-654A-4995-B66A-C066D229DE78}" xr6:coauthVersionLast="47" xr6:coauthVersionMax="47" xr10:uidLastSave="{00000000-0000-0000-0000-000000000000}"/>
  <bookViews>
    <workbookView xWindow="28680" yWindow="-120" windowWidth="29040" windowHeight="15720" xr2:uid="{17EB953A-2661-4049-9616-0D3098A3DA36}"/>
  </bookViews>
  <sheets>
    <sheet name="events-入力用" sheetId="1" r:id="rId1"/>
  </sheets>
  <externalReferences>
    <externalReference r:id="rId2"/>
  </externalReferences>
  <definedNames>
    <definedName name="_xlnm._FilterDatabase" localSheetId="0" hidden="1">'events-入力用'!$A$1:$S$1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1" l="1"/>
  <c r="K48" i="1"/>
  <c r="J48" i="1"/>
  <c r="M48" i="1" s="1"/>
  <c r="B48" i="1"/>
  <c r="A48" i="1"/>
  <c r="L47" i="1"/>
  <c r="K47" i="1"/>
  <c r="J47" i="1"/>
  <c r="M47" i="1" s="1"/>
  <c r="B47" i="1"/>
  <c r="A47" i="1"/>
  <c r="L40" i="1"/>
  <c r="K40" i="1"/>
  <c r="J40" i="1"/>
  <c r="M40" i="1" s="1"/>
  <c r="B40" i="1"/>
  <c r="A40" i="1"/>
  <c r="L39" i="1"/>
  <c r="K39" i="1"/>
  <c r="J39" i="1"/>
  <c r="M39" i="1" s="1"/>
  <c r="B39" i="1"/>
  <c r="A39" i="1"/>
  <c r="L38" i="1"/>
  <c r="K38" i="1"/>
  <c r="M38" i="1" s="1"/>
  <c r="J38" i="1"/>
  <c r="B38" i="1"/>
  <c r="A38" i="1"/>
  <c r="L32" i="1"/>
  <c r="K32" i="1"/>
  <c r="J32" i="1"/>
  <c r="M32" i="1" s="1"/>
  <c r="B32" i="1"/>
  <c r="A32" i="1"/>
  <c r="L46" i="1"/>
  <c r="K46" i="1"/>
  <c r="J46" i="1"/>
  <c r="M46" i="1" s="1"/>
  <c r="B46" i="1"/>
  <c r="A46" i="1"/>
  <c r="L45" i="1"/>
  <c r="K45" i="1"/>
  <c r="J45" i="1"/>
  <c r="M45" i="1" s="1"/>
  <c r="B45" i="1"/>
  <c r="A45" i="1"/>
  <c r="L37" i="1"/>
  <c r="K37" i="1"/>
  <c r="J37" i="1"/>
  <c r="M37" i="1" s="1"/>
  <c r="B37" i="1"/>
  <c r="A37" i="1"/>
  <c r="L34" i="1"/>
  <c r="K34" i="1"/>
  <c r="J34" i="1"/>
  <c r="B34" i="1"/>
  <c r="A34" i="1"/>
  <c r="L44" i="1"/>
  <c r="K44" i="1"/>
  <c r="J44" i="1"/>
  <c r="M44" i="1" s="1"/>
  <c r="B44" i="1"/>
  <c r="A44" i="1"/>
  <c r="L43" i="1"/>
  <c r="K43" i="1"/>
  <c r="J43" i="1"/>
  <c r="M43" i="1" s="1"/>
  <c r="B43" i="1"/>
  <c r="A43" i="1"/>
  <c r="L36" i="1"/>
  <c r="K36" i="1"/>
  <c r="J36" i="1"/>
  <c r="M36" i="1" s="1"/>
  <c r="B36" i="1"/>
  <c r="A36" i="1"/>
  <c r="L42" i="1"/>
  <c r="K42" i="1"/>
  <c r="J42" i="1"/>
  <c r="M42" i="1" s="1"/>
  <c r="B42" i="1"/>
  <c r="A42" i="1"/>
  <c r="L41" i="1"/>
  <c r="K41" i="1"/>
  <c r="J41" i="1"/>
  <c r="M41" i="1" s="1"/>
  <c r="B41" i="1"/>
  <c r="A41" i="1"/>
  <c r="L35" i="1"/>
  <c r="K35" i="1"/>
  <c r="J35" i="1"/>
  <c r="B35" i="1"/>
  <c r="A35" i="1"/>
  <c r="L7" i="1"/>
  <c r="K7" i="1"/>
  <c r="J7" i="1"/>
  <c r="M7" i="1" s="1"/>
  <c r="B7" i="1"/>
  <c r="A7" i="1"/>
  <c r="L2" i="1"/>
  <c r="K2" i="1"/>
  <c r="J2" i="1"/>
  <c r="M2" i="1" s="1"/>
  <c r="B2" i="1"/>
  <c r="A2" i="1"/>
  <c r="L6" i="1"/>
  <c r="K6" i="1"/>
  <c r="J6" i="1"/>
  <c r="B6" i="1"/>
  <c r="A6" i="1"/>
  <c r="L69" i="1"/>
  <c r="K69" i="1"/>
  <c r="J69" i="1"/>
  <c r="M69" i="1" s="1"/>
  <c r="L68" i="1"/>
  <c r="K68" i="1"/>
  <c r="J68" i="1"/>
  <c r="L67" i="1"/>
  <c r="K67" i="1"/>
  <c r="J67" i="1"/>
  <c r="L66" i="1"/>
  <c r="K66" i="1"/>
  <c r="J66" i="1"/>
  <c r="M66" i="1" s="1"/>
  <c r="L65" i="1"/>
  <c r="K65" i="1"/>
  <c r="J65" i="1"/>
  <c r="M65" i="1" s="1"/>
  <c r="L64" i="1"/>
  <c r="K64" i="1"/>
  <c r="J64" i="1"/>
  <c r="M64" i="1" s="1"/>
  <c r="L63" i="1"/>
  <c r="K63" i="1"/>
  <c r="J63" i="1"/>
  <c r="L62" i="1"/>
  <c r="K62" i="1"/>
  <c r="J62" i="1"/>
  <c r="L61" i="1"/>
  <c r="K61" i="1"/>
  <c r="J61" i="1"/>
  <c r="L60" i="1"/>
  <c r="K60" i="1"/>
  <c r="J60" i="1"/>
  <c r="L59" i="1"/>
  <c r="K59" i="1"/>
  <c r="J59" i="1"/>
  <c r="L58" i="1"/>
  <c r="K58" i="1"/>
  <c r="J58" i="1"/>
  <c r="M58" i="1" s="1"/>
  <c r="L57" i="1"/>
  <c r="K57" i="1"/>
  <c r="J57" i="1"/>
  <c r="M57" i="1" s="1"/>
  <c r="L56" i="1"/>
  <c r="K56" i="1"/>
  <c r="J56" i="1"/>
  <c r="M56" i="1" s="1"/>
  <c r="L55" i="1"/>
  <c r="K55" i="1"/>
  <c r="J55" i="1"/>
  <c r="L54" i="1"/>
  <c r="K54" i="1"/>
  <c r="J54" i="1"/>
  <c r="L53" i="1"/>
  <c r="K53" i="1"/>
  <c r="J53" i="1"/>
  <c r="M53" i="1" s="1"/>
  <c r="L52" i="1"/>
  <c r="K52" i="1"/>
  <c r="J52" i="1"/>
  <c r="L51" i="1"/>
  <c r="K51" i="1"/>
  <c r="J51" i="1"/>
  <c r="L50" i="1"/>
  <c r="K50" i="1"/>
  <c r="J50" i="1"/>
  <c r="M50" i="1" s="1"/>
  <c r="L49" i="1"/>
  <c r="K49" i="1"/>
  <c r="J49" i="1"/>
  <c r="L10" i="1"/>
  <c r="K10" i="1"/>
  <c r="J10" i="1"/>
  <c r="M10" i="1" s="1"/>
  <c r="L15" i="1"/>
  <c r="K15" i="1"/>
  <c r="J15" i="1"/>
  <c r="L28" i="1"/>
  <c r="K28" i="1"/>
  <c r="J28" i="1"/>
  <c r="M28" i="1" s="1"/>
  <c r="L14" i="1"/>
  <c r="K14" i="1"/>
  <c r="J14" i="1"/>
  <c r="M14" i="1" s="1"/>
  <c r="L9" i="1"/>
  <c r="K9" i="1"/>
  <c r="J9" i="1"/>
  <c r="L31" i="1"/>
  <c r="K31" i="1"/>
  <c r="J31" i="1"/>
  <c r="L13" i="1"/>
  <c r="K13" i="1"/>
  <c r="J13" i="1"/>
  <c r="M13" i="1" s="1"/>
  <c r="L12" i="1"/>
  <c r="K12" i="1"/>
  <c r="J12" i="1"/>
  <c r="L20" i="1"/>
  <c r="K20" i="1"/>
  <c r="J20" i="1"/>
  <c r="M20" i="1" s="1"/>
  <c r="L27" i="1"/>
  <c r="K27" i="1"/>
  <c r="J27" i="1"/>
  <c r="L5" i="1"/>
  <c r="K5" i="1"/>
  <c r="J5" i="1"/>
  <c r="L8" i="1"/>
  <c r="K8" i="1"/>
  <c r="J8" i="1"/>
  <c r="M8" i="1" s="1"/>
  <c r="L19" i="1"/>
  <c r="K19" i="1"/>
  <c r="J19" i="1"/>
  <c r="L18" i="1"/>
  <c r="K18" i="1"/>
  <c r="J18" i="1"/>
  <c r="L17" i="1"/>
  <c r="K17" i="1"/>
  <c r="J17" i="1"/>
  <c r="M17" i="1" s="1"/>
  <c r="L26" i="1"/>
  <c r="K26" i="1"/>
  <c r="J26" i="1"/>
  <c r="L30" i="1"/>
  <c r="K30" i="1"/>
  <c r="J30" i="1"/>
  <c r="L25" i="1"/>
  <c r="K25" i="1"/>
  <c r="J25" i="1"/>
  <c r="L29" i="1"/>
  <c r="K29" i="1"/>
  <c r="J29" i="1"/>
  <c r="L33" i="1"/>
  <c r="K33" i="1"/>
  <c r="J33" i="1"/>
  <c r="M33" i="1" s="1"/>
  <c r="L4" i="1"/>
  <c r="K4" i="1"/>
  <c r="J4" i="1"/>
  <c r="L16" i="1"/>
  <c r="K16" i="1"/>
  <c r="J16" i="1"/>
  <c r="L11" i="1"/>
  <c r="K11" i="1"/>
  <c r="J11" i="1"/>
  <c r="L24" i="1"/>
  <c r="K24" i="1"/>
  <c r="J24" i="1"/>
  <c r="L23" i="1"/>
  <c r="K23" i="1"/>
  <c r="J23" i="1"/>
  <c r="M23" i="1" s="1"/>
  <c r="L22" i="1"/>
  <c r="K22" i="1"/>
  <c r="J22" i="1"/>
  <c r="L21" i="1"/>
  <c r="K21" i="1"/>
  <c r="J21" i="1"/>
  <c r="L3" i="1"/>
  <c r="K3" i="1"/>
  <c r="J3" i="1"/>
  <c r="M3" i="1" s="1"/>
  <c r="B59" i="1"/>
  <c r="B58" i="1"/>
  <c r="B57" i="1"/>
  <c r="B56" i="1"/>
  <c r="B55" i="1"/>
  <c r="B54" i="1"/>
  <c r="B53" i="1"/>
  <c r="B52" i="1"/>
  <c r="B51" i="1"/>
  <c r="B50" i="1"/>
  <c r="B49" i="1"/>
  <c r="B10" i="1"/>
  <c r="B15" i="1"/>
  <c r="B28" i="1"/>
  <c r="B14" i="1"/>
  <c r="B9" i="1"/>
  <c r="B31" i="1"/>
  <c r="B13" i="1"/>
  <c r="B12" i="1"/>
  <c r="B20" i="1"/>
  <c r="B27" i="1"/>
  <c r="B5" i="1"/>
  <c r="B8" i="1"/>
  <c r="B19" i="1"/>
  <c r="B18" i="1"/>
  <c r="B17" i="1"/>
  <c r="B26" i="1"/>
  <c r="B30" i="1"/>
  <c r="B25" i="1"/>
  <c r="B29" i="1"/>
  <c r="B33" i="1"/>
  <c r="B4" i="1"/>
  <c r="B16" i="1"/>
  <c r="B11" i="1"/>
  <c r="B24" i="1"/>
  <c r="B23" i="1"/>
  <c r="B22" i="1"/>
  <c r="B21" i="1"/>
  <c r="B3" i="1"/>
  <c r="A63" i="1"/>
  <c r="A62" i="1"/>
  <c r="A61" i="1"/>
  <c r="A60" i="1"/>
  <c r="A59" i="1"/>
  <c r="A58" i="1"/>
  <c r="A57" i="1"/>
  <c r="A56" i="1"/>
  <c r="A55" i="1"/>
  <c r="A54" i="1"/>
  <c r="A53" i="1"/>
  <c r="A52" i="1"/>
  <c r="A51" i="1"/>
  <c r="A50" i="1"/>
  <c r="A49" i="1"/>
  <c r="A10" i="1"/>
  <c r="A15" i="1"/>
  <c r="A28" i="1"/>
  <c r="A14" i="1"/>
  <c r="A9" i="1"/>
  <c r="A31" i="1"/>
  <c r="A13" i="1"/>
  <c r="A12" i="1"/>
  <c r="A20" i="1"/>
  <c r="A27" i="1"/>
  <c r="A5" i="1"/>
  <c r="A8" i="1"/>
  <c r="A19" i="1"/>
  <c r="A18" i="1"/>
  <c r="A17" i="1"/>
  <c r="A26" i="1"/>
  <c r="A30" i="1"/>
  <c r="A25" i="1"/>
  <c r="A29" i="1"/>
  <c r="A33" i="1"/>
  <c r="A4" i="1"/>
  <c r="A16" i="1"/>
  <c r="A11" i="1"/>
  <c r="A24" i="1"/>
  <c r="A23" i="1"/>
  <c r="A22" i="1"/>
  <c r="A21" i="1"/>
  <c r="A3" i="1"/>
  <c r="M4" i="1" l="1"/>
  <c r="M19" i="1"/>
  <c r="M35" i="1"/>
  <c r="M34" i="1"/>
  <c r="M6" i="1"/>
  <c r="M63" i="1"/>
  <c r="M52" i="1"/>
  <c r="M60" i="1"/>
  <c r="M22" i="1"/>
  <c r="M25" i="1"/>
  <c r="M27" i="1"/>
  <c r="M15" i="1"/>
  <c r="M51" i="1"/>
  <c r="M59" i="1"/>
  <c r="M21" i="1"/>
  <c r="M29" i="1"/>
  <c r="M68" i="1"/>
  <c r="M16" i="1"/>
  <c r="M18" i="1"/>
  <c r="M31" i="1"/>
  <c r="M49" i="1"/>
  <c r="M5" i="1"/>
  <c r="M67" i="1"/>
  <c r="M9" i="1"/>
  <c r="M55" i="1"/>
  <c r="M30" i="1"/>
  <c r="M61" i="1"/>
  <c r="M11" i="1"/>
  <c r="M24" i="1"/>
  <c r="M26" i="1"/>
  <c r="M12" i="1"/>
  <c r="M54" i="1"/>
  <c r="M62" i="1"/>
</calcChain>
</file>

<file path=xl/sharedStrings.xml><?xml version="1.0" encoding="utf-8"?>
<sst xmlns="http://schemas.openxmlformats.org/spreadsheetml/2006/main" count="443" uniqueCount="248">
  <si>
    <t>country_iso3</t>
  </si>
  <si>
    <t>country_name</t>
  </si>
  <si>
    <t>country_name_ja</t>
  </si>
  <si>
    <t>title</t>
  </si>
  <si>
    <t>summary</t>
  </si>
  <si>
    <t>detail</t>
  </si>
  <si>
    <t>関係国１</t>
  </si>
  <si>
    <t>関係国２</t>
  </si>
  <si>
    <t>関係国３</t>
  </si>
  <si>
    <t>related_country_1</t>
  </si>
  <si>
    <t>related_country_2</t>
  </si>
  <si>
    <t>related_country_3</t>
  </si>
  <si>
    <t>related_countries</t>
  </si>
  <si>
    <t>impact_summary</t>
  </si>
  <si>
    <t>category</t>
  </si>
  <si>
    <t>event_date</t>
  </si>
  <si>
    <t>source_name</t>
  </si>
  <si>
    <t>source_url</t>
  </si>
  <si>
    <t>importance</t>
  </si>
  <si>
    <t>チャド</t>
  </si>
  <si>
    <t>チャドがスーダン難民をめぐり国境へ軍を展開</t>
  </si>
  <si>
    <t>チャドがスーダン国境から難民を移送させ、攻撃に備えて軍を展開した</t>
  </si>
  <si>
    <t>紛争の懸念</t>
  </si>
  <si>
    <t>スーダン</t>
  </si>
  <si>
    <t>国際関係</t>
  </si>
  <si>
    <t>軍事</t>
  </si>
  <si>
    <t>Reuters</t>
  </si>
  <si>
    <t>https://www.reuters.com/world/africa/chad-relocates-sudan-refugees-army-deploys-near-border-2026-03-23/</t>
  </si>
  <si>
    <t>アメリカ</t>
  </si>
  <si>
    <t>トランプ大統領、次はキューバ言及</t>
  </si>
  <si>
    <t>トランプ大統領が演説で軍事成果を強調し、次の標的としてキューバに言及。緊張拡大の懸念が浮上。</t>
  </si>
  <si>
    <t>キューバ</t>
  </si>
  <si>
    <t>https://www.reuters.com/world/americas/trump-says-cuba-is-next-speech-touting-us-military-successes-2026-03-27/</t>
  </si>
  <si>
    <t>カナダ</t>
  </si>
  <si>
    <t>カナダ、メルコスール協定狙う</t>
  </si>
  <si>
    <t>カナダが交渉を加速、2026年9?10月の署名を目標に年内合意を目指すと報告。</t>
  </si>
  <si>
    <t>経済関係の再編</t>
  </si>
  <si>
    <t>ブラジル</t>
  </si>
  <si>
    <t>アルゼンチン</t>
  </si>
  <si>
    <t>パラグアイ</t>
  </si>
  <si>
    <t>貿易</t>
  </si>
  <si>
    <t>https://www.reuters.com/world/canada-eyes-mercosur-pact-by-autumn-2026-03-27/</t>
  </si>
  <si>
    <t>欧州連合</t>
  </si>
  <si>
    <t>EＵとTPPがデジタル分野の合意を形成</t>
  </si>
  <si>
    <t>歴史的なデジタル貿易協定で実質的進展、規範と市場開放で合意へ。</t>
  </si>
  <si>
    <t>CPTPP</t>
  </si>
  <si>
    <t>https://www.reuters.com/world/americas/eu-cptpp-agree-progress-with-historic-digital-trade-deal-canadas-international-2026-03-27/</t>
  </si>
  <si>
    <t>メルコスールとカナダがFTA合意間近</t>
  </si>
  <si>
    <t>カナダとメルコスールのFTAについて年内合意を目指すと表明</t>
  </si>
  <si>
    <t>https://www.reuters.com/world/americas/mercosur-canada-near-free-trade-agreement-with-april-talks-2026-03-27/</t>
  </si>
  <si>
    <t>メキシコ</t>
  </si>
  <si>
    <t>メキシコがキューバ医師協定維持を表明</t>
  </si>
  <si>
    <t>メキシコが過疎地支援のため、キューバへの医師派遣協定を継続すると表明</t>
  </si>
  <si>
    <t>外交</t>
  </si>
  <si>
    <t>https://www.reuters.com/world/americas/mexico-uphold-cuban-doctor-agreement-president-says-2026-03-25/</t>
  </si>
  <si>
    <t>トランプ氏、マドゥロ大統領への追加訴追を示唆</t>
  </si>
  <si>
    <t>1月の奇襲で拘束されたマドゥロ大統領に対し追加訴追を表明。</t>
  </si>
  <si>
    <t>ベネズエラ</t>
  </si>
  <si>
    <t>https://www.reuters.com/world/americas/trump-says-venezuelas-maduro-face-additional-charges-2026-03-26/</t>
  </si>
  <si>
    <t>コスタリカ</t>
  </si>
  <si>
    <t>コスタリカ、アメリカからの移民送還者受け入れへ</t>
  </si>
  <si>
    <t>アメリカが強制送還する移民を週最大25人受け入れへ</t>
  </si>
  <si>
    <t>https://www.reuters.com/world/americas/costa-rica-plans-accept-us-sent-migrants-other-countries-2026-03-24/</t>
  </si>
  <si>
    <t>イエメン</t>
  </si>
  <si>
    <t>フーシ派がイランの戦線へ参加表明</t>
  </si>
  <si>
    <t>フーシ派がイスラエル攻撃開始を表明、地域緊張拡大へ</t>
  </si>
  <si>
    <t>イラン</t>
  </si>
  <si>
    <t>イスラエル</t>
  </si>
  <si>
    <t>軍事的緊張</t>
  </si>
  <si>
    <t>紛争</t>
  </si>
  <si>
    <t>https://www.reuters.com/world/asia-pacific/yemens-houthis-enter-iran-war-with-attacks-israel-while-us-marines-arrive-region-2026-03-28/</t>
  </si>
  <si>
    <t>中国</t>
  </si>
  <si>
    <t>比中、南シナ海協議再開へ</t>
  </si>
  <si>
    <t>フィリピン</t>
  </si>
  <si>
    <t>安全保障</t>
  </si>
  <si>
    <t>https://www.reuters.com/business/energy/manila-beijing-resume-talks-south-china-sea-energy-security-2026-03-28/</t>
  </si>
  <si>
    <t>ネパール</t>
  </si>
  <si>
    <t>ネパール首相にシャー氏が就任</t>
  </si>
  <si>
    <t>シャー氏が選挙圧勝を受け首相に就任し新政権を樹立へ。</t>
  </si>
  <si>
    <t>国内政治</t>
  </si>
  <si>
    <t>その他</t>
  </si>
  <si>
    <t>https://www.reuters.com/world/china/ex-rapper-shah-sworn-nepal-prime-minister-after-sweeping-election-win-2026-03-27/</t>
  </si>
  <si>
    <t>インドネシア</t>
  </si>
  <si>
    <t>インドネシア、未成年SNS規制が施行</t>
  </si>
  <si>
    <t>未成年の利用制限と年齢確認義務で運用混乱が懸念</t>
  </si>
  <si>
    <t>https://www.reuters.com/business/media-telecom/indonesias-social-media-curbs-kids-set-saturday-few-know-how-it-will-work-2026-03-27/</t>
  </si>
  <si>
    <t>北朝鮮</t>
  </si>
  <si>
    <t>北朝鮮とベラルーシが友好条約に署名</t>
  </si>
  <si>
    <t>両国が公式に友好条約を締結、外交・防衛と経済で今後協力を深化へ</t>
  </si>
  <si>
    <t>ベラルーシ</t>
  </si>
  <si>
    <t>https://www.reuters.com/world/asia-pacific/north-korea-belarus-sign-friendship-treaty-kcna-says-2026-03-26/</t>
  </si>
  <si>
    <t>パキスタン</t>
  </si>
  <si>
    <t>パキスタン、アフガニスタンで軍事作戦継続</t>
  </si>
  <si>
    <t>パキスタン外務省が越境攻撃継続を表明、タリバン拠点を標的と説明</t>
  </si>
  <si>
    <t>アフガニスタン</t>
  </si>
  <si>
    <t>https://www.reuters.com/world/asia-pacific/pakistan-continuing-military-operations-against-afghanistan-pakistan-foreign-2026-03-26/</t>
  </si>
  <si>
    <t>トランプ大統領、イランのエネルギー施設への攻撃を一時停止</t>
  </si>
  <si>
    <t>エネルギー施設への攻撃を10日間停止と表明、米の15項目案をイランが検討中</t>
  </si>
  <si>
    <t>https://www.reuters.com/world/asia-pacific/iran-says-it-is-reviewing-us-ceasefire-plan-no-talks-trump-says-tehran-leaders-2026-03-26/</t>
  </si>
  <si>
    <t>アメリカがアラクチ外相らを攻撃対象から一時解除</t>
  </si>
  <si>
    <t>パキスタンの仲介により米がアラクチ外相らを攻撃対象から一時的に外す</t>
  </si>
  <si>
    <t>https://www.reuters.com/world/asia-pacific/israel-took-irans-araqchi-qalibaf-off-hit-list-pakistan-request-pakistani-2026-03-26/</t>
  </si>
  <si>
    <t>日本</t>
  </si>
  <si>
    <t>日本、対中関係を「最重要」から格下げ</t>
  </si>
  <si>
    <t>2026年外交青書案から中国が『最重要』指定から外れる</t>
  </si>
  <si>
    <t>https://www.reuters.com/world/china/japan-drop-most-important-tag-china-ties-2026-03-24/</t>
  </si>
  <si>
    <t>香港警察、外国人へのパスワード取得権拡大</t>
  </si>
  <si>
    <t>香港にて警察による携帯・PCのパスワード入手が可能となり監視強化が懸念される。</t>
  </si>
  <si>
    <t>https://www.reuters.com/world/china/hong-kong-police-given-new-powers-obtain-phone-computer-passwords-2026-03-23/</t>
  </si>
  <si>
    <t>ウクライナ</t>
  </si>
  <si>
    <t>ウクライナとサウジアラビアが防衛協力に合意</t>
  </si>
  <si>
    <t>サウジアラビア</t>
  </si>
  <si>
    <t>https://www.reuters.com/business/aerospace-defense/ukraine-saudi-arabia-sign-deal-defence-cooperation-zelenskiy-says-2026-03-27/</t>
  </si>
  <si>
    <t>ウクライナ、ロシアのエネルギー施設へ圧力</t>
  </si>
  <si>
    <t>ウクライナがロシアの石油施設への攻撃を発表</t>
  </si>
  <si>
    <t>ロシア</t>
  </si>
  <si>
    <t>https://www.reuters.com/business/energy/ukraine-using-strikes-pressure-russia-after-oil-sanctions-eased-zelenskiy-says-2026-03-26/</t>
  </si>
  <si>
    <t>キプロス</t>
  </si>
  <si>
    <t>キプロス、イギリスと基地協議</t>
  </si>
  <si>
    <t>基地の将来や使用条件を協議へ、2月の無人機攻撃が契機に</t>
  </si>
  <si>
    <t>イギリス</t>
  </si>
  <si>
    <t>https://www.reuters.com/world/uk/cyprus-has-opened-discussion-with-uk-over-its-bases-president-says-2026-03-25/</t>
  </si>
  <si>
    <t>デンマーク</t>
  </si>
  <si>
    <t>デンマーク首相が辞任表明尾</t>
  </si>
  <si>
    <t>選挙敗北を受けてフレデリクセン首相が辞任を表明</t>
  </si>
  <si>
    <t>https://www.reuters.com/world/europe/denmarks-prime-minister-hands-government-resignation-after-election-defeat-2026-03-25/</t>
  </si>
  <si>
    <t>ウクライナがUAE・カタールと防衛協力</t>
  </si>
  <si>
    <t>ゼレンスキー大統領の訪問で10年間の協力が合意、ドローン対策や燃料供給で連携強化</t>
  </si>
  <si>
    <t>UAE</t>
  </si>
  <si>
    <t>カタール</t>
  </si>
  <si>
    <t>https://www.reuters.com/world/middle-east/ukraine-uae-agree-cooperate-defence-zelenskiy-says-2026-03-28/</t>
  </si>
  <si>
    <t>イスラエルがレバノン南部へ緩衝地帯設置計画を発表</t>
  </si>
  <si>
    <t>イスラエルがレバノン南部のリタニ川まで占領する計画を発表</t>
  </si>
  <si>
    <t>レバノン</t>
  </si>
  <si>
    <t>https://www.reuters.com/graphics/IRAN-CRISIS/LEBANON-ISRAEL-INFRASTRUCTURE/gkvlklaxypb/</t>
  </si>
  <si>
    <t>イギリスとトルコが空防協定に署名</t>
  </si>
  <si>
    <t>数十億ポンド規模の新たな訓練・支援契約に署名</t>
  </si>
  <si>
    <t>トルコ</t>
  </si>
  <si>
    <t>https://www.reuters.com/business/aerospace-defense/uk-turkey-sign-multi-billion-pound-air-defence-deal-2026-03-25/</t>
  </si>
  <si>
    <t>コンゴ民主共和国</t>
  </si>
  <si>
    <t>DRコンゴが中国との鉱業協力強化</t>
  </si>
  <si>
    <t>中国との鉱業連携強化によりアメリカとの供給競争が拡大</t>
  </si>
  <si>
    <t>https://www.reuters.com/world/africa/congo-china-deepen-mining-ties-us-pushes-rival-minerals-pact-2026-03-27/</t>
  </si>
  <si>
    <t>ケニア</t>
  </si>
  <si>
    <t>ケニアが中国との貿易協定に最終合意</t>
  </si>
  <si>
    <t>98%の輸出が中国市場であるケニアが関税免除に最終合意</t>
  </si>
  <si>
    <t>https://www.reuters.com/world/africa/kenya-finalises-trade-deal-with-china-president-says-2026-03-25/</t>
  </si>
  <si>
    <t>欧州連合・オーストラリアが貿易協定を締結</t>
  </si>
  <si>
    <t>物品関税ほぼ撤廃、農産物・鉱物・サービスで開放。投資優遇とGI保護も。</t>
  </si>
  <si>
    <t>オーストラリア</t>
  </si>
  <si>
    <t>https://www.reuters.com/business/highlights-eu-australia-trade-agreement-2026-03-24/</t>
  </si>
  <si>
    <t>フィリピンと中国が南シナ海における協議を再開</t>
    <rPh sb="6" eb="8">
      <t>チュウゴク</t>
    </rPh>
    <rPh sb="9" eb="10">
      <t>ミナミ</t>
    </rPh>
    <rPh sb="12" eb="13">
      <t>カイ</t>
    </rPh>
    <rPh sb="17" eb="19">
      <t>キョウギ</t>
    </rPh>
    <rPh sb="20" eb="22">
      <t>サイカイ</t>
    </rPh>
    <phoneticPr fontId="18"/>
  </si>
  <si>
    <t>ウクライナとサウジアラビアが防衛協力に合意</t>
    <rPh sb="14" eb="18">
      <t>ボウエイキョウリョク</t>
    </rPh>
    <rPh sb="19" eb="21">
      <t>ゴウイ</t>
    </rPh>
    <phoneticPr fontId="18"/>
  </si>
  <si>
    <t>イスラエル</t>
    <phoneticPr fontId="18"/>
  </si>
  <si>
    <t>イスラエル閣僚がレバノン南部を併合宣言</t>
    <rPh sb="12" eb="14">
      <t>ナンブ</t>
    </rPh>
    <phoneticPr fontId="18"/>
  </si>
  <si>
    <t>財務相スモトリッヒ氏がレバノン南部リタニ川まで国境拡大を主張、空爆で民間被害。</t>
    <rPh sb="9" eb="10">
      <t>ウジ</t>
    </rPh>
    <rPh sb="15" eb="17">
      <t>ナンブ</t>
    </rPh>
    <phoneticPr fontId="18"/>
  </si>
  <si>
    <t>紛争</t>
    <rPh sb="0" eb="2">
      <t>フンソウ</t>
    </rPh>
    <phoneticPr fontId="18"/>
  </si>
  <si>
    <t>レバノン</t>
    <phoneticPr fontId="18"/>
  </si>
  <si>
    <t>軍事的緊張が高まる</t>
  </si>
  <si>
    <t>Reuters</t>
    <phoneticPr fontId="18"/>
  </si>
  <si>
    <t>https://www.reuters.com/world/middle-east/israeli-minister-calls-annexation-southern-lebanon-2026-03-23/</t>
  </si>
  <si>
    <t>スロベニア</t>
    <phoneticPr fontId="18"/>
  </si>
  <si>
    <t>スロベニア総選挙</t>
    <rPh sb="5" eb="8">
      <t>ソウセンキョ</t>
    </rPh>
    <phoneticPr fontId="18"/>
  </si>
  <si>
    <t>自由派とポピュリスト右派が接戦、過半数獲得できず小党が連立の鍵に。</t>
    <phoneticPr fontId="18"/>
  </si>
  <si>
    <t>選挙</t>
    <rPh sb="0" eb="2">
      <t>センキョ</t>
    </rPh>
    <phoneticPr fontId="18"/>
  </si>
  <si>
    <t>国内政治に影響</t>
  </si>
  <si>
    <t>https://www.reuters.com/world/europe/slovenians-vote-tight-race-between-liberals-populist-right-2026-03-22/</t>
    <phoneticPr fontId="18"/>
  </si>
  <si>
    <t>イタリア</t>
    <phoneticPr fontId="18"/>
  </si>
  <si>
    <t>イタリアの司法改革案が国民投票にて否決</t>
    <rPh sb="5" eb="10">
      <t>シホウカイカクアン</t>
    </rPh>
    <rPh sb="11" eb="15">
      <t>コクミントウヒョウ</t>
    </rPh>
    <rPh sb="17" eb="19">
      <t>ヒケツ</t>
    </rPh>
    <phoneticPr fontId="1"/>
  </si>
  <si>
    <t>メローニの司法改正案が僅差で否決、支持基盤に大打撃。</t>
    <phoneticPr fontId="18"/>
  </si>
  <si>
    <t>国内政治</t>
    <rPh sb="0" eb="4">
      <t>コクナイセイジ</t>
    </rPh>
    <phoneticPr fontId="18"/>
  </si>
  <si>
    <t>https://www.reuters.com/world/europe/exit-polls-suggest-italys-meloni-has-narrowly-lost-justice-referendum-vote-2026-03-23/</t>
    <phoneticPr fontId="18"/>
  </si>
  <si>
    <t>キューバ</t>
    <phoneticPr fontId="18"/>
  </si>
  <si>
    <t>ロシア原油がキューバに到着</t>
    <rPh sb="11" eb="13">
      <t>トウチャク</t>
    </rPh>
    <phoneticPr fontId="18"/>
  </si>
  <si>
    <t>トランプ大統領がキューバへの輸送を容認、ロシア産原油でキューバの燃料不足が一時緩和</t>
    <rPh sb="4" eb="7">
      <t>ダイトウリョウ</t>
    </rPh>
    <rPh sb="14" eb="16">
      <t>ユソウ</t>
    </rPh>
    <phoneticPr fontId="18"/>
  </si>
  <si>
    <t>エネルギー</t>
    <phoneticPr fontId="18"/>
  </si>
  <si>
    <t>ロシア</t>
    <phoneticPr fontId="18"/>
  </si>
  <si>
    <t>アメリカ</t>
    <phoneticPr fontId="18"/>
  </si>
  <si>
    <t>国際関係に影響</t>
  </si>
  <si>
    <t>エネルギー</t>
  </si>
  <si>
    <t>Bloomberg</t>
    <phoneticPr fontId="18"/>
  </si>
  <si>
    <t>https://www.bloomberg.com/news/articles/2026-03-30/russian-oil-shipment-buys-us-and-cuba-time-as-crisis-festers</t>
    <phoneticPr fontId="18"/>
  </si>
  <si>
    <t>パラグアイ</t>
    <phoneticPr fontId="18"/>
  </si>
  <si>
    <t>パラグアイ、財務相が交代</t>
    <phoneticPr fontId="18"/>
  </si>
  <si>
    <t>暫定の財務相が就任、後任選定へ</t>
    <rPh sb="0" eb="2">
      <t>ザンテイ</t>
    </rPh>
    <rPh sb="3" eb="6">
      <t>ザイムショウ</t>
    </rPh>
    <rPh sb="7" eb="9">
      <t>シュウニン</t>
    </rPh>
    <rPh sb="10" eb="12">
      <t>コウニン</t>
    </rPh>
    <rPh sb="12" eb="14">
      <t>センテイ</t>
    </rPh>
    <phoneticPr fontId="18"/>
  </si>
  <si>
    <t>https://www.bloomberg.com/news/articles/2026-03-31/paraguay-names-interim-finance-chief-after-fernandez-resigns</t>
    <phoneticPr fontId="18"/>
  </si>
  <si>
    <t>アメリカ、3隻目の空母を中東海域へ派遣</t>
    <rPh sb="12" eb="16">
      <t>チュウトウカイイキ</t>
    </rPh>
    <phoneticPr fontId="18"/>
  </si>
  <si>
    <t>第3空母戦闘群を中東へ増派、イランとの緊張続く。</t>
    <phoneticPr fontId="18"/>
  </si>
  <si>
    <t>イラン</t>
    <phoneticPr fontId="18"/>
  </si>
  <si>
    <t>https://www.bloomberg.com/news/articles/2026-03-31/third-us-aircraft-carrier-heads-to-mideast-as-iran-war-continues</t>
    <phoneticPr fontId="18"/>
  </si>
  <si>
    <t>レバノン南部で国連平和維持軍3名が死亡</t>
    <rPh sb="4" eb="6">
      <t>ナンブ</t>
    </rPh>
    <rPh sb="7" eb="14">
      <t>コクレンヘイワイジグン</t>
    </rPh>
    <rPh sb="15" eb="16">
      <t>メイ</t>
    </rPh>
    <rPh sb="17" eb="19">
      <t>シボウ</t>
    </rPh>
    <phoneticPr fontId="18"/>
  </si>
  <si>
    <t>イスラエルによるレバノン南部攻撃による</t>
    <rPh sb="12" eb="14">
      <t>ナンブ</t>
    </rPh>
    <rPh sb="14" eb="16">
      <t>コウゲキ</t>
    </rPh>
    <phoneticPr fontId="18"/>
  </si>
  <si>
    <t>https://www.reuters.com/world/middle-east/unifil-says-one-peacekeeper-killed-one-critically-injured-southern-lebanon-2026-03-29/</t>
  </si>
  <si>
    <t>イギリス</t>
    <phoneticPr fontId="18"/>
  </si>
  <si>
    <t>イギリスとシリアの首脳会談</t>
    <rPh sb="9" eb="13">
      <t>シュノウカイダン</t>
    </rPh>
    <phoneticPr fontId="18"/>
  </si>
  <si>
    <t>移民問題と国境警備問題が議題に</t>
    <rPh sb="0" eb="4">
      <t>イミンモンダイ</t>
    </rPh>
    <rPh sb="5" eb="11">
      <t>コッキョウケイビモンダイ</t>
    </rPh>
    <rPh sb="12" eb="14">
      <t>ギダイ</t>
    </rPh>
    <phoneticPr fontId="18"/>
  </si>
  <si>
    <t>国際関係</t>
    <rPh sb="0" eb="4">
      <t>コクサイカンケイ</t>
    </rPh>
    <phoneticPr fontId="18"/>
  </si>
  <si>
    <t>シリア</t>
    <phoneticPr fontId="18"/>
  </si>
  <si>
    <t>https://www.reuters.com/world/middle-east/uk-pm-starmer-raises-migration-border-security-talks-with-syrias-president-2026-03-31/</t>
  </si>
  <si>
    <t>イスラエルがレバノン南部に緩衝地帯設置を表明</t>
    <rPh sb="10" eb="12">
      <t>ナンブ</t>
    </rPh>
    <rPh sb="13" eb="19">
      <t>カンショウチタイセッチ</t>
    </rPh>
    <rPh sb="20" eb="22">
      <t>ヒョウメイ</t>
    </rPh>
    <phoneticPr fontId="18"/>
  </si>
  <si>
    <t>イスラエル国防相、レバノン南部リタ川までを緩衝地帯にすると発言</t>
    <rPh sb="5" eb="8">
      <t>コクボウショウ</t>
    </rPh>
    <rPh sb="13" eb="15">
      <t>ナンブ</t>
    </rPh>
    <rPh sb="17" eb="18">
      <t>カワ</t>
    </rPh>
    <rPh sb="21" eb="25">
      <t>カンショウチタイ</t>
    </rPh>
    <rPh sb="29" eb="31">
      <t>ハツゲン</t>
    </rPh>
    <phoneticPr fontId="18"/>
  </si>
  <si>
    <t>https://www.reuters.com/world/middle-east/israel-establish-buffer-zone-south-lebanon-up-litani-river-defence-minister-says-2026-03-31/</t>
  </si>
  <si>
    <t>ウクライナ</t>
    <phoneticPr fontId="18"/>
  </si>
  <si>
    <t>ゼレンスキー大統領のヨルダン訪問</t>
    <rPh sb="6" eb="9">
      <t>ダイトウリョウ</t>
    </rPh>
    <rPh sb="14" eb="16">
      <t>ホウモン</t>
    </rPh>
    <phoneticPr fontId="18"/>
  </si>
  <si>
    <t>アブドラ国王と安全保障協力について協議</t>
    <rPh sb="4" eb="6">
      <t>コクオウ</t>
    </rPh>
    <rPh sb="7" eb="13">
      <t>アンゼンホショウキョウリョク</t>
    </rPh>
    <rPh sb="17" eb="19">
      <t>キョウギ</t>
    </rPh>
    <phoneticPr fontId="18"/>
  </si>
  <si>
    <t>ヨルダン</t>
    <phoneticPr fontId="18"/>
  </si>
  <si>
    <t>https://www.reuters.com/business/aerospace-defense/ukraines-zelenskiy-arrives-jordan-next-leg-gulf-tour-2026-03-29/</t>
  </si>
  <si>
    <t>ロシアがスパイ容疑で英外交官を追放</t>
    <rPh sb="7" eb="9">
      <t>ヨウギ</t>
    </rPh>
    <rPh sb="10" eb="11">
      <t>エイ</t>
    </rPh>
    <rPh sb="11" eb="14">
      <t>ガイコウカン</t>
    </rPh>
    <rPh sb="15" eb="17">
      <t>ツイホウ</t>
    </rPh>
    <phoneticPr fontId="18"/>
  </si>
  <si>
    <t>スパイ容疑で外交官を国外退去処分と発表。英政府は抗議。</t>
    <rPh sb="20" eb="21">
      <t>エイ</t>
    </rPh>
    <phoneticPr fontId="18"/>
  </si>
  <si>
    <t>https://www.reuters.com/world/russia-expels-british-diplomat-over-espionage-fsb-says-2026-03-30/</t>
  </si>
  <si>
    <t>イタリア、米軍機のシチリア基地利用を拒否と発表</t>
    <rPh sb="5" eb="8">
      <t>ベイグンキ</t>
    </rPh>
    <rPh sb="13" eb="17">
      <t>キチリヨウ</t>
    </rPh>
    <rPh sb="18" eb="20">
      <t>キョヒ</t>
    </rPh>
    <rPh sb="21" eb="23">
      <t>ハッピョウ</t>
    </rPh>
    <phoneticPr fontId="1"/>
  </si>
  <si>
    <t>イタリアが中東に向かう米軍航空機の基地使用を拒否</t>
    <rPh sb="5" eb="7">
      <t>チュウトウ</t>
    </rPh>
    <rPh sb="8" eb="9">
      <t>ム</t>
    </rPh>
    <rPh sb="11" eb="16">
      <t>ベイグンコウクウキ</t>
    </rPh>
    <rPh sb="17" eb="21">
      <t>キチシヨウ</t>
    </rPh>
    <rPh sb="22" eb="24">
      <t>キョヒ</t>
    </rPh>
    <phoneticPr fontId="18"/>
  </si>
  <si>
    <t>https://www.reuters.com/business/aerospace-defense/italy-refuses-us-aircraft-use-sicily-base-middle-east-operations-source-says-2026-03-31/</t>
  </si>
  <si>
    <t>フランス</t>
    <phoneticPr fontId="18"/>
  </si>
  <si>
    <t>フランスがイスラエルの領空通過を拒否</t>
    <rPh sb="11" eb="13">
      <t>リョウクウ</t>
    </rPh>
    <rPh sb="13" eb="15">
      <t>ツウカ</t>
    </rPh>
    <rPh sb="16" eb="18">
      <t>キョヒ</t>
    </rPh>
    <phoneticPr fontId="18"/>
  </si>
  <si>
    <t>イラン攻撃用の米国製兵器輸送において自国領空通過を拒否した。</t>
    <rPh sb="3" eb="5">
      <t>コウゲキ</t>
    </rPh>
    <rPh sb="5" eb="6">
      <t>ヨウ</t>
    </rPh>
    <rPh sb="7" eb="9">
      <t>ベイコク</t>
    </rPh>
    <rPh sb="9" eb="10">
      <t>セイ</t>
    </rPh>
    <rPh sb="10" eb="12">
      <t>ヘイキ</t>
    </rPh>
    <rPh sb="12" eb="14">
      <t>ユソウ</t>
    </rPh>
    <rPh sb="18" eb="20">
      <t>ジコク</t>
    </rPh>
    <rPh sb="20" eb="22">
      <t>リョウクウ</t>
    </rPh>
    <rPh sb="22" eb="24">
      <t>ツウカ</t>
    </rPh>
    <rPh sb="25" eb="27">
      <t>キョヒ</t>
    </rPh>
    <phoneticPr fontId="18"/>
  </si>
  <si>
    <t>https://www.reuters.com/world/china/france-refused-israel-use-its-air-space-transfer-us-weapons-iran-war-sources-2026-03-31/</t>
  </si>
  <si>
    <t>ネパール</t>
    <phoneticPr fontId="18"/>
  </si>
  <si>
    <t>ネパールの前首相が逮捕される</t>
    <rPh sb="5" eb="8">
      <t>ゼンシュショウ</t>
    </rPh>
    <rPh sb="9" eb="11">
      <t>タイホ</t>
    </rPh>
    <phoneticPr fontId="18"/>
  </si>
  <si>
    <t>2025年9月の抗議活動への弾圧に関連した逮捕</t>
    <rPh sb="4" eb="5">
      <t>ネン</t>
    </rPh>
    <rPh sb="6" eb="7">
      <t>ガツ</t>
    </rPh>
    <rPh sb="8" eb="12">
      <t>コウギカツドウ</t>
    </rPh>
    <rPh sb="14" eb="16">
      <t>ダンアツ</t>
    </rPh>
    <rPh sb="17" eb="19">
      <t>カンレン</t>
    </rPh>
    <rPh sb="21" eb="23">
      <t>タイホ</t>
    </rPh>
    <phoneticPr fontId="18"/>
  </si>
  <si>
    <t>https://www.reuters.com/world/asia-pacific/nepals-ex-pm-oli-held-over-deaths-during-gen-z-protests-2026-03-28/</t>
  </si>
  <si>
    <t>アフガニスタン</t>
    <phoneticPr fontId="18"/>
  </si>
  <si>
    <t>アフガニスタンとパキスタンで豪雨被害</t>
    <rPh sb="16" eb="18">
      <t>ヒガイ</t>
    </rPh>
    <phoneticPr fontId="18"/>
  </si>
  <si>
    <t>両国で合計45名が死亡したとされる</t>
    <rPh sb="0" eb="2">
      <t>リョウコク</t>
    </rPh>
    <rPh sb="3" eb="5">
      <t>ゴウケイ</t>
    </rPh>
    <rPh sb="7" eb="8">
      <t>メイ</t>
    </rPh>
    <rPh sb="9" eb="11">
      <t>シボウ</t>
    </rPh>
    <phoneticPr fontId="18"/>
  </si>
  <si>
    <t>災害</t>
    <rPh sb="0" eb="2">
      <t>サイガイ</t>
    </rPh>
    <phoneticPr fontId="18"/>
  </si>
  <si>
    <t>パキスタン</t>
    <phoneticPr fontId="18"/>
  </si>
  <si>
    <t>人道問題に影響</t>
  </si>
  <si>
    <t>人道</t>
  </si>
  <si>
    <t>https://www.reuters.com/sustainability/climate-energy/heavy-rain-floods-kill-22-people-afghanistan-2026-03-30/</t>
  </si>
  <si>
    <t>コソボ</t>
    <phoneticPr fontId="18"/>
  </si>
  <si>
    <t>コソボがガザ地区への部隊派遣を承認</t>
    <rPh sb="6" eb="8">
      <t>チク</t>
    </rPh>
    <rPh sb="10" eb="14">
      <t>ブタイハケン</t>
    </rPh>
    <rPh sb="15" eb="17">
      <t>ショウニン</t>
    </rPh>
    <phoneticPr fontId="18"/>
  </si>
  <si>
    <t>米国主導の国際安定化部隊へ参加表明、派遣規模は未公表。</t>
    <phoneticPr fontId="18"/>
  </si>
  <si>
    <t>パレスチナ</t>
    <phoneticPr fontId="18"/>
  </si>
  <si>
    <t>https://www.reuters.com/world/asia-pacific/kosovo-approves-troops-gaza-under-us-backed-scheme-2026-03-30/</t>
  </si>
  <si>
    <t>パキスタンとアフガニスタンが再衝突</t>
    <rPh sb="14" eb="17">
      <t>サイショウトツ</t>
    </rPh>
    <phoneticPr fontId="18"/>
  </si>
  <si>
    <t>両国国境で砲撃があり民間人被害報告。</t>
    <rPh sb="0" eb="2">
      <t>リョウコク</t>
    </rPh>
    <phoneticPr fontId="18"/>
  </si>
  <si>
    <t>https://www.reuters.com/world/asia-pacific/pakistan-afghanistan-trade-fire-islamabad-prepares-host-us-iran-talks-2026-03-30/</t>
  </si>
  <si>
    <t>タイ</t>
    <phoneticPr fontId="18"/>
  </si>
  <si>
    <t>タイにて新内閣が承認される</t>
    <rPh sb="4" eb="7">
      <t>シンナイカク</t>
    </rPh>
    <rPh sb="8" eb="10">
      <t>ショウニン</t>
    </rPh>
    <phoneticPr fontId="18"/>
  </si>
  <si>
    <t>アヌティン新内閣が承認される</t>
    <rPh sb="9" eb="11">
      <t>ショウニン</t>
    </rPh>
    <phoneticPr fontId="18"/>
  </si>
  <si>
    <t>https://www.reuters.com/world/asia-pacific/thai-king-approves-pm-anutins-cabinet-royal-gazette-says-2026-03-31/</t>
  </si>
  <si>
    <t>韓国</t>
    <rPh sb="0" eb="2">
      <t>カンコク</t>
    </rPh>
    <phoneticPr fontId="18"/>
  </si>
  <si>
    <t>韓国にて株価の大暴落と通貨の急落が発生</t>
    <rPh sb="0" eb="2">
      <t>カンコク</t>
    </rPh>
    <rPh sb="4" eb="6">
      <t>カブカ</t>
    </rPh>
    <rPh sb="7" eb="10">
      <t>ダイボウラク</t>
    </rPh>
    <rPh sb="11" eb="13">
      <t>ツウカ</t>
    </rPh>
    <rPh sb="14" eb="16">
      <t>キュウラク</t>
    </rPh>
    <rPh sb="17" eb="19">
      <t>ハッセイ</t>
    </rPh>
    <phoneticPr fontId="18"/>
  </si>
  <si>
    <t>2008年以来の下がり幅を記録。</t>
    <rPh sb="4" eb="5">
      <t>ネン</t>
    </rPh>
    <rPh sb="5" eb="7">
      <t>イライ</t>
    </rPh>
    <rPh sb="8" eb="9">
      <t>サ</t>
    </rPh>
    <rPh sb="11" eb="12">
      <t>ハバ</t>
    </rPh>
    <rPh sb="13" eb="15">
      <t>キロク</t>
    </rPh>
    <phoneticPr fontId="18"/>
  </si>
  <si>
    <t>経済</t>
    <rPh sb="0" eb="2">
      <t>ケイザイ</t>
    </rPh>
    <phoneticPr fontId="18"/>
  </si>
  <si>
    <t>金融市場に影響</t>
  </si>
  <si>
    <t>金融</t>
  </si>
  <si>
    <t>https://www.reuters.com/world/asia-pacific/south-korea-hit-by-steepest-stocks-selloff-since-2008-currency-tumbles-2026-03-31/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</si>
</sst>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
      <sz val="10"/>
      <color theme="1"/>
      <name val="Arial Unicode MS"/>
      <family val="2"/>
    </font>
    <font>
      <u/>
      <sz val="11"/>
      <color theme="10"/>
      <name val="游ゴシック"/>
      <family val="2"/>
      <charset val="128"/>
      <scheme val="minor"/>
    </font>
    <font>
      <sz val="9"/>
      <color theme="1"/>
      <name val="游ゴシック"/>
      <family val="3"/>
      <charset val="128"/>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20" fillId="0" borderId="0" applyNumberFormat="0" applyFill="0" applyBorder="0" applyAlignment="0" applyProtection="0">
      <alignment vertical="center"/>
    </xf>
  </cellStyleXfs>
  <cellXfs count="6">
    <xf numFmtId="0" fontId="0" fillId="0" borderId="0" xfId="0">
      <alignment vertical="center"/>
    </xf>
    <xf numFmtId="14" fontId="0" fillId="0" borderId="0" xfId="0" applyNumberFormat="1">
      <alignment vertical="center"/>
    </xf>
    <xf numFmtId="0" fontId="0" fillId="33" borderId="0" xfId="0" applyFill="1">
      <alignment vertical="center"/>
    </xf>
    <xf numFmtId="0" fontId="19" fillId="33" borderId="0" xfId="0" applyFont="1" applyFill="1">
      <alignment vertical="center"/>
    </xf>
    <xf numFmtId="0" fontId="21" fillId="0" borderId="0" xfId="0" applyFont="1" applyProtection="1">
      <alignment vertical="center"/>
      <protection locked="0"/>
    </xf>
    <xf numFmtId="0" fontId="20" fillId="0" borderId="0" xfId="42">
      <alignment vertical="center"/>
    </xf>
  </cellXfs>
  <cellStyles count="43">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ハイパーリンク" xfId="42" builtinId="8"/>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G:\world_map_project\world-map-news-app\public\data\ISO&#36766;&#26360;.xlsx" TargetMode="External"/><Relationship Id="rId1" Type="http://schemas.openxmlformats.org/officeDocument/2006/relationships/externalLinkPath" Target="ISO&#36766;&#2636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SO辞書"/>
    </sheetNames>
    <sheetDataSet>
      <sheetData sheetId="0">
        <row r="1">
          <cell r="A1" t="str">
            <v>A列</v>
          </cell>
          <cell r="B1" t="str">
            <v>B列</v>
          </cell>
          <cell r="C1" t="str">
            <v>C列</v>
          </cell>
        </row>
        <row r="2">
          <cell r="A2" t="str">
            <v>国名_日本語</v>
          </cell>
          <cell r="B2" t="str">
            <v>ISO3</v>
          </cell>
          <cell r="C2" t="str">
            <v>国名_英語</v>
          </cell>
        </row>
        <row r="3">
          <cell r="A3" t="str">
            <v>アフガニスタン</v>
          </cell>
          <cell r="B3" t="str">
            <v>AFG</v>
          </cell>
          <cell r="C3" t="str">
            <v>Afghanistan</v>
          </cell>
        </row>
        <row r="4">
          <cell r="A4" t="str">
            <v>オーランド諸島</v>
          </cell>
          <cell r="B4" t="str">
            <v>ALA</v>
          </cell>
          <cell r="C4" t="str">
            <v>Åland Islands</v>
          </cell>
        </row>
        <row r="5">
          <cell r="A5" t="str">
            <v>アルバニア</v>
          </cell>
          <cell r="B5" t="str">
            <v>ALB</v>
          </cell>
          <cell r="C5" t="str">
            <v>Albania</v>
          </cell>
        </row>
        <row r="6">
          <cell r="A6" t="str">
            <v>アルジェリア</v>
          </cell>
          <cell r="B6" t="str">
            <v>DZA</v>
          </cell>
          <cell r="C6" t="str">
            <v>Algeria</v>
          </cell>
        </row>
        <row r="7">
          <cell r="A7" t="str">
            <v>アメリカ領サモア</v>
          </cell>
          <cell r="B7" t="str">
            <v>ASM</v>
          </cell>
          <cell r="C7" t="str">
            <v>American Samoa</v>
          </cell>
        </row>
        <row r="8">
          <cell r="A8" t="str">
            <v>アンドラ</v>
          </cell>
          <cell r="B8" t="str">
            <v>AND</v>
          </cell>
          <cell r="C8" t="str">
            <v>Andorra</v>
          </cell>
        </row>
        <row r="9">
          <cell r="A9" t="str">
            <v>アンゴラ</v>
          </cell>
          <cell r="B9" t="str">
            <v>AGO</v>
          </cell>
          <cell r="C9" t="str">
            <v>Angola</v>
          </cell>
        </row>
        <row r="10">
          <cell r="A10" t="str">
            <v>アンギラ</v>
          </cell>
          <cell r="B10" t="str">
            <v>AIA</v>
          </cell>
          <cell r="C10" t="str">
            <v>Anguilla</v>
          </cell>
        </row>
        <row r="11">
          <cell r="A11" t="str">
            <v>南極</v>
          </cell>
          <cell r="B11" t="str">
            <v>ATA</v>
          </cell>
          <cell r="C11" t="str">
            <v>Antarctica</v>
          </cell>
        </row>
        <row r="12">
          <cell r="A12" t="str">
            <v>アンティグア・バーブーダ</v>
          </cell>
          <cell r="B12" t="str">
            <v>ATG</v>
          </cell>
          <cell r="C12" t="str">
            <v>Antigua and Barbuda</v>
          </cell>
        </row>
        <row r="13">
          <cell r="A13" t="str">
            <v>アルゼンチン</v>
          </cell>
          <cell r="B13" t="str">
            <v>ARG</v>
          </cell>
          <cell r="C13" t="str">
            <v>Argentina</v>
          </cell>
        </row>
        <row r="14">
          <cell r="A14" t="str">
            <v>アルメニア</v>
          </cell>
          <cell r="B14" t="str">
            <v>ARM</v>
          </cell>
          <cell r="C14" t="str">
            <v>Armenia</v>
          </cell>
        </row>
        <row r="15">
          <cell r="A15" t="str">
            <v>アルバ</v>
          </cell>
          <cell r="B15" t="str">
            <v>ABW</v>
          </cell>
          <cell r="C15" t="str">
            <v>Aruba</v>
          </cell>
        </row>
        <row r="16">
          <cell r="A16" t="str">
            <v>オーストラリア</v>
          </cell>
          <cell r="B16" t="str">
            <v>AUS</v>
          </cell>
          <cell r="C16" t="str">
            <v>Australia</v>
          </cell>
        </row>
        <row r="17">
          <cell r="A17" t="str">
            <v>オーストリア</v>
          </cell>
          <cell r="B17" t="str">
            <v>AUT</v>
          </cell>
          <cell r="C17" t="str">
            <v>Austria</v>
          </cell>
        </row>
        <row r="18">
          <cell r="A18" t="str">
            <v>アゼルバイジャン</v>
          </cell>
          <cell r="B18" t="str">
            <v>AZE</v>
          </cell>
          <cell r="C18" t="str">
            <v>Azerbaijan</v>
          </cell>
        </row>
        <row r="19">
          <cell r="A19" t="str">
            <v>バハマ</v>
          </cell>
          <cell r="B19" t="str">
            <v>BHS</v>
          </cell>
          <cell r="C19" t="str">
            <v>Bahamas</v>
          </cell>
        </row>
        <row r="20">
          <cell r="A20" t="str">
            <v>バーレーン</v>
          </cell>
          <cell r="B20" t="str">
            <v>BHR</v>
          </cell>
          <cell r="C20" t="str">
            <v>Bahrain</v>
          </cell>
        </row>
        <row r="21">
          <cell r="A21" t="str">
            <v>バングラデシュ</v>
          </cell>
          <cell r="B21" t="str">
            <v>BGD</v>
          </cell>
          <cell r="C21" t="str">
            <v>Bangladesh</v>
          </cell>
        </row>
        <row r="22">
          <cell r="A22" t="str">
            <v>バルバドス</v>
          </cell>
          <cell r="B22" t="str">
            <v>BRB</v>
          </cell>
          <cell r="C22" t="str">
            <v>Barbados</v>
          </cell>
        </row>
        <row r="23">
          <cell r="A23" t="str">
            <v>ベラルーシ</v>
          </cell>
          <cell r="B23" t="str">
            <v>BLR</v>
          </cell>
          <cell r="C23" t="str">
            <v>Belarus</v>
          </cell>
        </row>
        <row r="24">
          <cell r="A24" t="str">
            <v>ベルギー</v>
          </cell>
          <cell r="B24" t="str">
            <v>BEL</v>
          </cell>
          <cell r="C24" t="str">
            <v>Belgium</v>
          </cell>
        </row>
        <row r="25">
          <cell r="A25" t="str">
            <v>ベリーズ</v>
          </cell>
          <cell r="B25" t="str">
            <v>BLZ</v>
          </cell>
          <cell r="C25" t="str">
            <v>Belize</v>
          </cell>
        </row>
        <row r="26">
          <cell r="A26" t="str">
            <v>ベナン</v>
          </cell>
          <cell r="B26" t="str">
            <v>BEN</v>
          </cell>
          <cell r="C26" t="str">
            <v>Benin</v>
          </cell>
        </row>
        <row r="27">
          <cell r="A27" t="str">
            <v>バミューダ</v>
          </cell>
          <cell r="B27" t="str">
            <v>BMU</v>
          </cell>
          <cell r="C27" t="str">
            <v>Bermuda</v>
          </cell>
        </row>
        <row r="28">
          <cell r="A28" t="str">
            <v>ブータン</v>
          </cell>
          <cell r="B28" t="str">
            <v>BTN</v>
          </cell>
          <cell r="C28" t="str">
            <v>Bhutan</v>
          </cell>
        </row>
        <row r="29">
          <cell r="A29" t="str">
            <v>ボリビア</v>
          </cell>
          <cell r="B29" t="str">
            <v>BOL</v>
          </cell>
          <cell r="C29" t="str">
            <v>Bolivia</v>
          </cell>
        </row>
        <row r="30">
          <cell r="A30" t="str">
            <v>ボスニア・ヘルツェゴビナ</v>
          </cell>
          <cell r="B30" t="str">
            <v>BIH</v>
          </cell>
          <cell r="C30" t="str">
            <v>Bosnia and Herzegovina</v>
          </cell>
        </row>
        <row r="31">
          <cell r="A31" t="str">
            <v>ボツワナ</v>
          </cell>
          <cell r="B31" t="str">
            <v>BWA</v>
          </cell>
          <cell r="C31" t="str">
            <v>Botswana</v>
          </cell>
        </row>
        <row r="32">
          <cell r="A32" t="str">
            <v>ブーベ島</v>
          </cell>
          <cell r="B32" t="str">
            <v>BVT</v>
          </cell>
          <cell r="C32" t="str">
            <v>Bouvet Island</v>
          </cell>
        </row>
        <row r="33">
          <cell r="A33" t="str">
            <v>ブラジル</v>
          </cell>
          <cell r="B33" t="str">
            <v>BRA</v>
          </cell>
          <cell r="C33" t="str">
            <v>Brazil</v>
          </cell>
        </row>
        <row r="34">
          <cell r="A34" t="str">
            <v>イギリス領インド洋地域</v>
          </cell>
          <cell r="B34" t="str">
            <v>IOT</v>
          </cell>
          <cell r="C34" t="str">
            <v>British Indian Ocean Territory</v>
          </cell>
        </row>
        <row r="35">
          <cell r="A35" t="str">
            <v>ブルネイ</v>
          </cell>
          <cell r="B35" t="str">
            <v>BRN</v>
          </cell>
          <cell r="C35" t="str">
            <v>Brunei Darussalam</v>
          </cell>
        </row>
        <row r="36">
          <cell r="A36" t="str">
            <v>ブルガリア</v>
          </cell>
          <cell r="B36" t="str">
            <v>BGR</v>
          </cell>
          <cell r="C36" t="str">
            <v>Bulgaria</v>
          </cell>
        </row>
        <row r="37">
          <cell r="A37" t="str">
            <v>ブルキナファソ</v>
          </cell>
          <cell r="B37" t="str">
            <v>BFA</v>
          </cell>
          <cell r="C37" t="str">
            <v>Burkina Faso</v>
          </cell>
        </row>
        <row r="38">
          <cell r="A38" t="str">
            <v>ブルンジ</v>
          </cell>
          <cell r="B38" t="str">
            <v>BDI</v>
          </cell>
          <cell r="C38" t="str">
            <v>Burundi</v>
          </cell>
        </row>
        <row r="39">
          <cell r="A39" t="str">
            <v>カーボベルデ</v>
          </cell>
          <cell r="B39" t="str">
            <v>CPV</v>
          </cell>
          <cell r="C39" t="str">
            <v>Cabo Verde</v>
          </cell>
        </row>
        <row r="40">
          <cell r="A40" t="str">
            <v>カンボジア</v>
          </cell>
          <cell r="B40" t="str">
            <v>KHM</v>
          </cell>
          <cell r="C40" t="str">
            <v>Cambodia</v>
          </cell>
        </row>
        <row r="41">
          <cell r="A41" t="str">
            <v>カメルーン</v>
          </cell>
          <cell r="B41" t="str">
            <v>CMR</v>
          </cell>
          <cell r="C41" t="str">
            <v>Cameroon</v>
          </cell>
        </row>
        <row r="42">
          <cell r="A42" t="str">
            <v>カナダ</v>
          </cell>
          <cell r="B42" t="str">
            <v>CAN</v>
          </cell>
          <cell r="C42" t="str">
            <v>Canada</v>
          </cell>
        </row>
        <row r="43">
          <cell r="A43" t="str">
            <v>ケイマン諸島</v>
          </cell>
          <cell r="B43" t="str">
            <v>CYM</v>
          </cell>
          <cell r="C43" t="str">
            <v>Cayman Islands</v>
          </cell>
        </row>
        <row r="44">
          <cell r="A44" t="str">
            <v>中央アフリカ共和国</v>
          </cell>
          <cell r="B44" t="str">
            <v>CAF</v>
          </cell>
          <cell r="C44" t="str">
            <v>Central African Republic</v>
          </cell>
        </row>
        <row r="45">
          <cell r="A45" t="str">
            <v>チャド</v>
          </cell>
          <cell r="B45" t="str">
            <v>TCD</v>
          </cell>
          <cell r="C45" t="str">
            <v>Chad</v>
          </cell>
        </row>
        <row r="46">
          <cell r="A46" t="str">
            <v>チリ</v>
          </cell>
          <cell r="B46" t="str">
            <v>CHL</v>
          </cell>
          <cell r="C46" t="str">
            <v>Chile</v>
          </cell>
        </row>
        <row r="47">
          <cell r="A47" t="str">
            <v>中国</v>
          </cell>
          <cell r="B47" t="str">
            <v>CHN</v>
          </cell>
          <cell r="C47" t="str">
            <v>China</v>
          </cell>
        </row>
        <row r="48">
          <cell r="A48" t="str">
            <v>クリスマス島</v>
          </cell>
          <cell r="B48" t="str">
            <v>CXR</v>
          </cell>
          <cell r="C48" t="str">
            <v>Christmas Island</v>
          </cell>
        </row>
        <row r="49">
          <cell r="A49" t="str">
            <v>ココス諸島</v>
          </cell>
          <cell r="B49" t="str">
            <v>CCK</v>
          </cell>
          <cell r="C49" t="str">
            <v>Cocos (Keeling) Islands</v>
          </cell>
        </row>
        <row r="50">
          <cell r="A50" t="str">
            <v>コロンビア</v>
          </cell>
          <cell r="B50" t="str">
            <v>COL</v>
          </cell>
          <cell r="C50" t="str">
            <v>Colombia</v>
          </cell>
        </row>
        <row r="51">
          <cell r="A51" t="str">
            <v>コモロ</v>
          </cell>
          <cell r="B51" t="str">
            <v>COM</v>
          </cell>
          <cell r="C51" t="str">
            <v>Comoros</v>
          </cell>
        </row>
        <row r="52">
          <cell r="A52" t="str">
            <v>コンゴ共和国</v>
          </cell>
          <cell r="B52" t="str">
            <v>COG</v>
          </cell>
          <cell r="C52" t="str">
            <v>Congo</v>
          </cell>
        </row>
        <row r="53">
          <cell r="A53" t="str">
            <v>コンゴ民主共和国</v>
          </cell>
          <cell r="B53" t="str">
            <v>COD</v>
          </cell>
          <cell r="C53" t="str">
            <v>Democratic Republic of the Congo</v>
          </cell>
        </row>
        <row r="54">
          <cell r="A54" t="str">
            <v>クック諸島</v>
          </cell>
          <cell r="B54" t="str">
            <v>COK</v>
          </cell>
          <cell r="C54" t="str">
            <v>Cook Islands</v>
          </cell>
        </row>
        <row r="55">
          <cell r="A55" t="str">
            <v>コスタリカ</v>
          </cell>
          <cell r="B55" t="str">
            <v>CRI</v>
          </cell>
          <cell r="C55" t="str">
            <v>Costa Rica</v>
          </cell>
        </row>
        <row r="56">
          <cell r="A56" t="str">
            <v>コートジボワール</v>
          </cell>
          <cell r="B56" t="str">
            <v>CIV</v>
          </cell>
          <cell r="C56" t="str">
            <v>Côte d'Ivoire</v>
          </cell>
        </row>
        <row r="57">
          <cell r="A57" t="str">
            <v>クロアチア</v>
          </cell>
          <cell r="B57" t="str">
            <v>HRV</v>
          </cell>
          <cell r="C57" t="str">
            <v>Croatia</v>
          </cell>
        </row>
        <row r="58">
          <cell r="A58" t="str">
            <v>キューバ</v>
          </cell>
          <cell r="B58" t="str">
            <v>CUB</v>
          </cell>
          <cell r="C58" t="str">
            <v>Cuba</v>
          </cell>
        </row>
        <row r="59">
          <cell r="A59" t="str">
            <v>キュラソー</v>
          </cell>
          <cell r="B59" t="str">
            <v>CUW</v>
          </cell>
          <cell r="C59" t="str">
            <v>Curaçao</v>
          </cell>
        </row>
        <row r="60">
          <cell r="A60" t="str">
            <v>キプロス</v>
          </cell>
          <cell r="B60" t="str">
            <v>CYP</v>
          </cell>
          <cell r="C60" t="str">
            <v>Cyprus</v>
          </cell>
        </row>
        <row r="61">
          <cell r="A61" t="str">
            <v>チェコ</v>
          </cell>
          <cell r="B61" t="str">
            <v>CZE</v>
          </cell>
          <cell r="C61" t="str">
            <v>Czechia</v>
          </cell>
        </row>
        <row r="62">
          <cell r="A62" t="str">
            <v>デンマーク</v>
          </cell>
          <cell r="B62" t="str">
            <v>DNK</v>
          </cell>
          <cell r="C62" t="str">
            <v>Denmark</v>
          </cell>
        </row>
        <row r="63">
          <cell r="A63" t="str">
            <v>ジブチ</v>
          </cell>
          <cell r="B63" t="str">
            <v>DJI</v>
          </cell>
          <cell r="C63" t="str">
            <v>Djibouti</v>
          </cell>
        </row>
        <row r="64">
          <cell r="A64" t="str">
            <v>ドミニカ</v>
          </cell>
          <cell r="B64" t="str">
            <v>DMA</v>
          </cell>
          <cell r="C64" t="str">
            <v>Dominica</v>
          </cell>
        </row>
        <row r="65">
          <cell r="A65" t="str">
            <v>ドミニカ共和国</v>
          </cell>
          <cell r="B65" t="str">
            <v>DOM</v>
          </cell>
          <cell r="C65" t="str">
            <v>Dominican Republic</v>
          </cell>
        </row>
        <row r="66">
          <cell r="A66" t="str">
            <v>エクアドル</v>
          </cell>
          <cell r="B66" t="str">
            <v>ECU</v>
          </cell>
          <cell r="C66" t="str">
            <v>Ecuador</v>
          </cell>
        </row>
        <row r="67">
          <cell r="A67" t="str">
            <v>エジプト</v>
          </cell>
          <cell r="B67" t="str">
            <v>EGY</v>
          </cell>
          <cell r="C67" t="str">
            <v>Egypt</v>
          </cell>
        </row>
        <row r="68">
          <cell r="A68" t="str">
            <v>エルサルバドル</v>
          </cell>
          <cell r="B68" t="str">
            <v>SLV</v>
          </cell>
          <cell r="C68" t="str">
            <v>El Salvador</v>
          </cell>
        </row>
        <row r="69">
          <cell r="A69" t="str">
            <v>赤道ギニア</v>
          </cell>
          <cell r="B69" t="str">
            <v>GNQ</v>
          </cell>
          <cell r="C69" t="str">
            <v>Equatorial Guinea</v>
          </cell>
        </row>
        <row r="70">
          <cell r="A70" t="str">
            <v>エリトリア</v>
          </cell>
          <cell r="B70" t="str">
            <v>ERI</v>
          </cell>
          <cell r="C70" t="str">
            <v>Eritrea</v>
          </cell>
        </row>
        <row r="71">
          <cell r="A71" t="str">
            <v>エストニア</v>
          </cell>
          <cell r="B71" t="str">
            <v>EST</v>
          </cell>
          <cell r="C71" t="str">
            <v>Estonia</v>
          </cell>
        </row>
        <row r="72">
          <cell r="A72" t="str">
            <v>エスワティニ</v>
          </cell>
          <cell r="B72" t="str">
            <v>SWZ</v>
          </cell>
          <cell r="C72" t="str">
            <v>Eswatini</v>
          </cell>
        </row>
        <row r="73">
          <cell r="A73" t="str">
            <v>エチオピア</v>
          </cell>
          <cell r="B73" t="str">
            <v>ETH</v>
          </cell>
          <cell r="C73" t="str">
            <v>Ethiopia</v>
          </cell>
        </row>
        <row r="74">
          <cell r="A74" t="str">
            <v>フォークランド諸島</v>
          </cell>
          <cell r="B74" t="str">
            <v>FLK</v>
          </cell>
          <cell r="C74" t="str">
            <v>Falkland Islands (Malvinas)</v>
          </cell>
        </row>
        <row r="75">
          <cell r="A75" t="str">
            <v>フェロー諸島</v>
          </cell>
          <cell r="B75" t="str">
            <v>FRO</v>
          </cell>
          <cell r="C75" t="str">
            <v>Faroe Islands</v>
          </cell>
        </row>
        <row r="76">
          <cell r="A76" t="str">
            <v>フィジー</v>
          </cell>
          <cell r="B76" t="str">
            <v>FJI</v>
          </cell>
          <cell r="C76" t="str">
            <v>Fiji</v>
          </cell>
        </row>
        <row r="77">
          <cell r="A77" t="str">
            <v>フィンランド</v>
          </cell>
          <cell r="B77" t="str">
            <v>FIN</v>
          </cell>
          <cell r="C77" t="str">
            <v>Finland</v>
          </cell>
        </row>
        <row r="78">
          <cell r="A78" t="str">
            <v>フランス</v>
          </cell>
          <cell r="B78" t="str">
            <v>FRA</v>
          </cell>
          <cell r="C78" t="str">
            <v>France</v>
          </cell>
        </row>
        <row r="79">
          <cell r="A79" t="str">
            <v>フランス領ギアナ</v>
          </cell>
          <cell r="B79" t="str">
            <v>GUF</v>
          </cell>
          <cell r="C79" t="str">
            <v>French Guiana</v>
          </cell>
        </row>
        <row r="80">
          <cell r="A80" t="str">
            <v>フランス領ポリネシア</v>
          </cell>
          <cell r="B80" t="str">
            <v>PYF</v>
          </cell>
          <cell r="C80" t="str">
            <v>French Polynesia</v>
          </cell>
        </row>
        <row r="81">
          <cell r="A81" t="str">
            <v>ガボン</v>
          </cell>
          <cell r="B81" t="str">
            <v>GAB</v>
          </cell>
          <cell r="C81" t="str">
            <v>Gabon</v>
          </cell>
        </row>
        <row r="82">
          <cell r="A82" t="str">
            <v>ガンビア</v>
          </cell>
          <cell r="B82" t="str">
            <v>GMB</v>
          </cell>
          <cell r="C82" t="str">
            <v>Gambia</v>
          </cell>
        </row>
        <row r="83">
          <cell r="A83" t="str">
            <v>ジョージア</v>
          </cell>
          <cell r="B83" t="str">
            <v>GEO</v>
          </cell>
          <cell r="C83" t="str">
            <v>Georgia</v>
          </cell>
        </row>
        <row r="84">
          <cell r="A84" t="str">
            <v>ドイツ</v>
          </cell>
          <cell r="B84" t="str">
            <v>DEU</v>
          </cell>
          <cell r="C84" t="str">
            <v>Germany</v>
          </cell>
        </row>
        <row r="85">
          <cell r="A85" t="str">
            <v>ガーナ</v>
          </cell>
          <cell r="B85" t="str">
            <v>GHA</v>
          </cell>
          <cell r="C85" t="str">
            <v>Ghana</v>
          </cell>
        </row>
        <row r="86">
          <cell r="A86" t="str">
            <v>ジブラルタル</v>
          </cell>
          <cell r="B86" t="str">
            <v>GIB</v>
          </cell>
          <cell r="C86" t="str">
            <v>Gibraltar</v>
          </cell>
        </row>
        <row r="87">
          <cell r="A87" t="str">
            <v>ギリシャ</v>
          </cell>
          <cell r="B87" t="str">
            <v>GRC</v>
          </cell>
          <cell r="C87" t="str">
            <v>Greece</v>
          </cell>
        </row>
        <row r="88">
          <cell r="A88" t="str">
            <v>グリーンランド</v>
          </cell>
          <cell r="B88" t="str">
            <v>GRL</v>
          </cell>
          <cell r="C88" t="str">
            <v>Greenland</v>
          </cell>
        </row>
        <row r="89">
          <cell r="A89" t="str">
            <v>グレナダ</v>
          </cell>
          <cell r="B89" t="str">
            <v>GRD</v>
          </cell>
          <cell r="C89" t="str">
            <v>Grenada</v>
          </cell>
        </row>
        <row r="90">
          <cell r="A90" t="str">
            <v>グアドループ</v>
          </cell>
          <cell r="B90" t="str">
            <v>GLP</v>
          </cell>
          <cell r="C90" t="str">
            <v>Guadeloupe</v>
          </cell>
        </row>
        <row r="91">
          <cell r="A91" t="str">
            <v>グアム</v>
          </cell>
          <cell r="B91" t="str">
            <v>GUM</v>
          </cell>
          <cell r="C91" t="str">
            <v>Guam</v>
          </cell>
        </row>
        <row r="92">
          <cell r="A92" t="str">
            <v>グアテマラ</v>
          </cell>
          <cell r="B92" t="str">
            <v>GTM</v>
          </cell>
          <cell r="C92" t="str">
            <v>Guatemala</v>
          </cell>
        </row>
        <row r="93">
          <cell r="A93" t="str">
            <v>ガーンジー</v>
          </cell>
          <cell r="B93" t="str">
            <v>GGY</v>
          </cell>
          <cell r="C93" t="str">
            <v>Guernsey</v>
          </cell>
        </row>
        <row r="94">
          <cell r="A94" t="str">
            <v>ギニア</v>
          </cell>
          <cell r="B94" t="str">
            <v>GIN</v>
          </cell>
          <cell r="C94" t="str">
            <v>Guinea</v>
          </cell>
        </row>
        <row r="95">
          <cell r="A95" t="str">
            <v>ギニアビサウ</v>
          </cell>
          <cell r="B95" t="str">
            <v>GNB</v>
          </cell>
          <cell r="C95" t="str">
            <v>Guinea-Bissau</v>
          </cell>
        </row>
        <row r="96">
          <cell r="A96" t="str">
            <v>ガイアナ</v>
          </cell>
          <cell r="B96" t="str">
            <v>GUY</v>
          </cell>
          <cell r="C96" t="str">
            <v>Guyana</v>
          </cell>
        </row>
        <row r="97">
          <cell r="A97" t="str">
            <v>ハイチ</v>
          </cell>
          <cell r="B97" t="str">
            <v>HTI</v>
          </cell>
          <cell r="C97" t="str">
            <v>Haiti</v>
          </cell>
        </row>
        <row r="98">
          <cell r="A98" t="str">
            <v>ハード島とマクドナルド諸島</v>
          </cell>
          <cell r="B98" t="str">
            <v>HMD</v>
          </cell>
          <cell r="C98" t="str">
            <v>Heard Island and McDonald Islands</v>
          </cell>
        </row>
        <row r="99">
          <cell r="A99" t="str">
            <v>バチカン</v>
          </cell>
          <cell r="B99" t="str">
            <v>HOLY</v>
          </cell>
          <cell r="C99" t="str">
            <v>Holy See</v>
          </cell>
        </row>
        <row r="100">
          <cell r="A100" t="str">
            <v>ホンジュラス</v>
          </cell>
          <cell r="B100" t="str">
            <v>HND</v>
          </cell>
          <cell r="C100" t="str">
            <v>Honduras</v>
          </cell>
        </row>
        <row r="101">
          <cell r="A101" t="str">
            <v>香港</v>
          </cell>
          <cell r="B101" t="str">
            <v>HKG</v>
          </cell>
          <cell r="C101" t="str">
            <v>Hong Kong</v>
          </cell>
        </row>
        <row r="102">
          <cell r="A102" t="str">
            <v>ハンガリー</v>
          </cell>
          <cell r="B102" t="str">
            <v>HUN</v>
          </cell>
          <cell r="C102" t="str">
            <v>Hungary</v>
          </cell>
        </row>
        <row r="103">
          <cell r="A103" t="str">
            <v>アイスランド</v>
          </cell>
          <cell r="B103" t="str">
            <v>ISL</v>
          </cell>
          <cell r="C103" t="str">
            <v>Iceland</v>
          </cell>
        </row>
        <row r="104">
          <cell r="A104" t="str">
            <v>インド</v>
          </cell>
          <cell r="B104" t="str">
            <v>IND</v>
          </cell>
          <cell r="C104" t="str">
            <v>India</v>
          </cell>
        </row>
        <row r="105">
          <cell r="A105" t="str">
            <v>インドネシア</v>
          </cell>
          <cell r="B105" t="str">
            <v>IDN</v>
          </cell>
          <cell r="C105" t="str">
            <v>Indonesia</v>
          </cell>
        </row>
        <row r="106">
          <cell r="A106" t="str">
            <v>イラン</v>
          </cell>
          <cell r="B106" t="str">
            <v>IRN</v>
          </cell>
          <cell r="C106" t="str">
            <v>Iran</v>
          </cell>
        </row>
        <row r="107">
          <cell r="A107" t="str">
            <v>イラク</v>
          </cell>
          <cell r="B107" t="str">
            <v>IRQ</v>
          </cell>
          <cell r="C107" t="str">
            <v>Iraq</v>
          </cell>
        </row>
        <row r="108">
          <cell r="A108" t="str">
            <v>アイルランド</v>
          </cell>
          <cell r="B108" t="str">
            <v>IRL</v>
          </cell>
          <cell r="C108" t="str">
            <v>Ireland</v>
          </cell>
        </row>
        <row r="109">
          <cell r="A109" t="str">
            <v>マン島</v>
          </cell>
          <cell r="B109" t="str">
            <v>IMN</v>
          </cell>
          <cell r="C109" t="str">
            <v>Isle of Man</v>
          </cell>
        </row>
        <row r="110">
          <cell r="A110" t="str">
            <v>イスラエル</v>
          </cell>
          <cell r="B110" t="str">
            <v>ISR</v>
          </cell>
          <cell r="C110" t="str">
            <v>Israel</v>
          </cell>
        </row>
        <row r="111">
          <cell r="A111" t="str">
            <v>イタリア</v>
          </cell>
          <cell r="B111" t="str">
            <v>ITA</v>
          </cell>
          <cell r="C111" t="str">
            <v>Italy</v>
          </cell>
        </row>
        <row r="112">
          <cell r="A112" t="str">
            <v>ジャマイカ</v>
          </cell>
          <cell r="B112" t="str">
            <v>JAM</v>
          </cell>
          <cell r="C112" t="str">
            <v>Jamaica</v>
          </cell>
        </row>
        <row r="113">
          <cell r="A113" t="str">
            <v>日本</v>
          </cell>
          <cell r="B113" t="str">
            <v>JPN</v>
          </cell>
          <cell r="C113" t="str">
            <v>Japan</v>
          </cell>
        </row>
        <row r="114">
          <cell r="A114" t="str">
            <v>ジャージー</v>
          </cell>
          <cell r="B114" t="str">
            <v>JEY</v>
          </cell>
          <cell r="C114" t="str">
            <v>Jersey</v>
          </cell>
        </row>
        <row r="115">
          <cell r="A115" t="str">
            <v>ヨルダン</v>
          </cell>
          <cell r="B115" t="str">
            <v>JOR</v>
          </cell>
          <cell r="C115" t="str">
            <v>Jordan</v>
          </cell>
        </row>
        <row r="116">
          <cell r="A116" t="str">
            <v>カザフスタン</v>
          </cell>
          <cell r="B116" t="str">
            <v>KAZ</v>
          </cell>
          <cell r="C116" t="str">
            <v>Kazakhstan</v>
          </cell>
        </row>
        <row r="117">
          <cell r="A117" t="str">
            <v>ケニア</v>
          </cell>
          <cell r="B117" t="str">
            <v>KEN</v>
          </cell>
          <cell r="C117" t="str">
            <v>Kenya</v>
          </cell>
        </row>
        <row r="118">
          <cell r="A118" t="str">
            <v>キリバス</v>
          </cell>
          <cell r="B118" t="str">
            <v>KIR</v>
          </cell>
          <cell r="C118" t="str">
            <v>Kiribati</v>
          </cell>
        </row>
        <row r="119">
          <cell r="A119" t="str">
            <v>北朝鮮</v>
          </cell>
          <cell r="B119" t="str">
            <v>PRK</v>
          </cell>
          <cell r="C119" t="str">
            <v>North Korea</v>
          </cell>
        </row>
        <row r="120">
          <cell r="A120" t="str">
            <v>韓国</v>
          </cell>
          <cell r="B120" t="str">
            <v>KOR</v>
          </cell>
          <cell r="C120" t="str">
            <v>Korea</v>
          </cell>
        </row>
        <row r="121">
          <cell r="A121" t="str">
            <v>クウェート</v>
          </cell>
          <cell r="B121" t="str">
            <v>KWT</v>
          </cell>
          <cell r="C121" t="str">
            <v>Kuwait</v>
          </cell>
        </row>
        <row r="122">
          <cell r="A122" t="str">
            <v>キルギス</v>
          </cell>
          <cell r="B122" t="str">
            <v>KGZ</v>
          </cell>
          <cell r="C122" t="str">
            <v>Kyrgyzstan</v>
          </cell>
        </row>
        <row r="123">
          <cell r="A123" t="str">
            <v>ラオス</v>
          </cell>
          <cell r="B123" t="str">
            <v>LAO</v>
          </cell>
          <cell r="C123" t="str">
            <v>Lao People's Democratic Republic</v>
          </cell>
        </row>
        <row r="124">
          <cell r="A124" t="str">
            <v>ラトビア</v>
          </cell>
          <cell r="B124" t="str">
            <v>LVA</v>
          </cell>
          <cell r="C124" t="str">
            <v>Latvia</v>
          </cell>
        </row>
        <row r="125">
          <cell r="A125" t="str">
            <v>レバノン</v>
          </cell>
          <cell r="B125" t="str">
            <v>LBN</v>
          </cell>
          <cell r="C125" t="str">
            <v>Lebanon</v>
          </cell>
        </row>
        <row r="126">
          <cell r="A126" t="str">
            <v>レソト</v>
          </cell>
          <cell r="B126" t="str">
            <v>LSO</v>
          </cell>
          <cell r="C126" t="str">
            <v>Lesotho</v>
          </cell>
        </row>
        <row r="127">
          <cell r="A127" t="str">
            <v>リベリア</v>
          </cell>
          <cell r="B127" t="str">
            <v>LBR</v>
          </cell>
          <cell r="C127" t="str">
            <v>Liberia</v>
          </cell>
        </row>
        <row r="128">
          <cell r="A128" t="str">
            <v>リビア</v>
          </cell>
          <cell r="B128" t="str">
            <v>LBY</v>
          </cell>
          <cell r="C128" t="str">
            <v>Libya</v>
          </cell>
        </row>
        <row r="129">
          <cell r="A129" t="str">
            <v>リヒテンシュタイン</v>
          </cell>
          <cell r="B129" t="str">
            <v>LIE</v>
          </cell>
          <cell r="C129" t="str">
            <v>Liechtenstein</v>
          </cell>
        </row>
        <row r="130">
          <cell r="A130" t="str">
            <v>リトアニア</v>
          </cell>
          <cell r="B130" t="str">
            <v>LTU</v>
          </cell>
          <cell r="C130" t="str">
            <v>Lithuania</v>
          </cell>
        </row>
        <row r="131">
          <cell r="A131" t="str">
            <v>ルクセンブルク</v>
          </cell>
          <cell r="B131" t="str">
            <v>LUX</v>
          </cell>
          <cell r="C131" t="str">
            <v>Luxembourg</v>
          </cell>
        </row>
        <row r="132">
          <cell r="A132" t="str">
            <v>マカオ</v>
          </cell>
          <cell r="B132" t="str">
            <v>MAC</v>
          </cell>
          <cell r="C132" t="str">
            <v>Macao</v>
          </cell>
        </row>
        <row r="133">
          <cell r="A133" t="str">
            <v>マダガスカル</v>
          </cell>
          <cell r="B133" t="str">
            <v>MDG</v>
          </cell>
          <cell r="C133" t="str">
            <v>Madagascar</v>
          </cell>
        </row>
        <row r="134">
          <cell r="A134" t="str">
            <v>マラウイ</v>
          </cell>
          <cell r="B134" t="str">
            <v>MWI</v>
          </cell>
          <cell r="C134" t="str">
            <v>Malawi</v>
          </cell>
        </row>
        <row r="135">
          <cell r="A135" t="str">
            <v>マレーシア</v>
          </cell>
          <cell r="B135" t="str">
            <v>MYS</v>
          </cell>
          <cell r="C135" t="str">
            <v>Malaysia</v>
          </cell>
        </row>
        <row r="136">
          <cell r="A136" t="str">
            <v>モルディブ</v>
          </cell>
          <cell r="B136" t="str">
            <v>MDV</v>
          </cell>
          <cell r="C136" t="str">
            <v>Maldives</v>
          </cell>
        </row>
        <row r="137">
          <cell r="A137" t="str">
            <v>マリ</v>
          </cell>
          <cell r="B137" t="str">
            <v>MLI</v>
          </cell>
          <cell r="C137" t="str">
            <v>Mali</v>
          </cell>
        </row>
        <row r="138">
          <cell r="A138" t="str">
            <v>マルタ</v>
          </cell>
          <cell r="B138" t="str">
            <v>MLT</v>
          </cell>
          <cell r="C138" t="str">
            <v>Malta</v>
          </cell>
        </row>
        <row r="139">
          <cell r="A139" t="str">
            <v>マーシャル諸島</v>
          </cell>
          <cell r="B139" t="str">
            <v>MHL</v>
          </cell>
          <cell r="C139" t="str">
            <v>Marshall Islands</v>
          </cell>
        </row>
        <row r="140">
          <cell r="A140" t="str">
            <v>マルティニーク</v>
          </cell>
          <cell r="B140" t="str">
            <v>MTQ</v>
          </cell>
          <cell r="C140" t="str">
            <v>Martinique</v>
          </cell>
        </row>
        <row r="141">
          <cell r="A141" t="str">
            <v>モーリタニア</v>
          </cell>
          <cell r="B141" t="str">
            <v>MRT</v>
          </cell>
          <cell r="C141" t="str">
            <v>Mauritania</v>
          </cell>
        </row>
        <row r="142">
          <cell r="A142" t="str">
            <v>モーリシャス</v>
          </cell>
          <cell r="B142" t="str">
            <v>MUS</v>
          </cell>
          <cell r="C142" t="str">
            <v>Mauritius</v>
          </cell>
        </row>
        <row r="143">
          <cell r="A143" t="str">
            <v>マヨット</v>
          </cell>
          <cell r="B143" t="str">
            <v>MYT</v>
          </cell>
          <cell r="C143" t="str">
            <v>Mayotte</v>
          </cell>
        </row>
        <row r="144">
          <cell r="A144" t="str">
            <v>メキシコ</v>
          </cell>
          <cell r="B144" t="str">
            <v>MEX</v>
          </cell>
          <cell r="C144" t="str">
            <v>Mexico</v>
          </cell>
        </row>
        <row r="145">
          <cell r="A145" t="str">
            <v>ミクロネシア連邦</v>
          </cell>
          <cell r="B145" t="str">
            <v>FSM</v>
          </cell>
          <cell r="C145" t="str">
            <v>Micronesia</v>
          </cell>
        </row>
        <row r="146">
          <cell r="A146" t="str">
            <v>モルドバ</v>
          </cell>
          <cell r="B146" t="str">
            <v>MDA</v>
          </cell>
          <cell r="C146" t="str">
            <v>Moldova</v>
          </cell>
        </row>
        <row r="147">
          <cell r="A147" t="str">
            <v>モナコ</v>
          </cell>
          <cell r="B147" t="str">
            <v>MCO</v>
          </cell>
          <cell r="C147" t="str">
            <v>Monaco</v>
          </cell>
        </row>
        <row r="148">
          <cell r="A148" t="str">
            <v>モンゴル</v>
          </cell>
          <cell r="B148" t="str">
            <v>MNG</v>
          </cell>
          <cell r="C148" t="str">
            <v>Mongolia</v>
          </cell>
        </row>
        <row r="149">
          <cell r="A149" t="str">
            <v>モンテネグロ</v>
          </cell>
          <cell r="B149" t="str">
            <v>MNE</v>
          </cell>
          <cell r="C149" t="str">
            <v>Montenegro</v>
          </cell>
        </row>
        <row r="150">
          <cell r="A150" t="str">
            <v>モントセラト</v>
          </cell>
          <cell r="B150" t="str">
            <v>MSR</v>
          </cell>
          <cell r="C150" t="str">
            <v>Montserrat</v>
          </cell>
        </row>
        <row r="151">
          <cell r="A151" t="str">
            <v>モロッコ</v>
          </cell>
          <cell r="B151" t="str">
            <v>MAR</v>
          </cell>
          <cell r="C151" t="str">
            <v>Morocco</v>
          </cell>
        </row>
        <row r="152">
          <cell r="A152" t="str">
            <v>モザンビーク</v>
          </cell>
          <cell r="B152" t="str">
            <v>MOZ</v>
          </cell>
          <cell r="C152" t="str">
            <v>Mozambique</v>
          </cell>
        </row>
        <row r="153">
          <cell r="A153" t="str">
            <v>ミャンマー</v>
          </cell>
          <cell r="B153" t="str">
            <v>MMR</v>
          </cell>
          <cell r="C153" t="str">
            <v>Myanmar</v>
          </cell>
        </row>
        <row r="154">
          <cell r="A154" t="str">
            <v>ナミビア</v>
          </cell>
          <cell r="B154" t="str">
            <v>NAM</v>
          </cell>
          <cell r="C154" t="str">
            <v>Namibia</v>
          </cell>
        </row>
        <row r="155">
          <cell r="A155" t="str">
            <v>ナウル</v>
          </cell>
          <cell r="B155" t="str">
            <v>NRU</v>
          </cell>
          <cell r="C155" t="str">
            <v>Nauru</v>
          </cell>
        </row>
        <row r="156">
          <cell r="A156" t="str">
            <v>ネパール</v>
          </cell>
          <cell r="B156" t="str">
            <v>NPL</v>
          </cell>
          <cell r="C156" t="str">
            <v>Nepal</v>
          </cell>
        </row>
        <row r="157">
          <cell r="A157" t="str">
            <v>オランダ</v>
          </cell>
          <cell r="B157" t="str">
            <v>NLD</v>
          </cell>
          <cell r="C157" t="str">
            <v>Netherlands</v>
          </cell>
        </row>
        <row r="158">
          <cell r="A158" t="str">
            <v>ニューカレドニア</v>
          </cell>
          <cell r="B158" t="str">
            <v>NCL</v>
          </cell>
          <cell r="C158" t="str">
            <v>New Caledonia</v>
          </cell>
        </row>
        <row r="159">
          <cell r="A159" t="str">
            <v>ニュージーランド</v>
          </cell>
          <cell r="B159" t="str">
            <v>NZL</v>
          </cell>
          <cell r="C159" t="str">
            <v>New Zealand</v>
          </cell>
        </row>
        <row r="160">
          <cell r="A160" t="str">
            <v>ニカラグア</v>
          </cell>
          <cell r="B160" t="str">
            <v>NIC</v>
          </cell>
          <cell r="C160" t="str">
            <v>Nicaragua</v>
          </cell>
        </row>
        <row r="161">
          <cell r="A161" t="str">
            <v>ニジェール</v>
          </cell>
          <cell r="B161" t="str">
            <v>NER</v>
          </cell>
          <cell r="C161" t="str">
            <v>Niger</v>
          </cell>
        </row>
        <row r="162">
          <cell r="A162" t="str">
            <v>ナイジェリア</v>
          </cell>
          <cell r="B162" t="str">
            <v>NGA</v>
          </cell>
          <cell r="C162" t="str">
            <v>Nigeria</v>
          </cell>
        </row>
        <row r="163">
          <cell r="A163" t="str">
            <v>ニウエ</v>
          </cell>
          <cell r="B163" t="str">
            <v>NIU</v>
          </cell>
          <cell r="C163" t="str">
            <v>Niue</v>
          </cell>
        </row>
        <row r="164">
          <cell r="A164" t="str">
            <v>ノーフォーク島</v>
          </cell>
          <cell r="B164" t="str">
            <v>NFK</v>
          </cell>
          <cell r="C164" t="str">
            <v>Norfolk Island</v>
          </cell>
        </row>
        <row r="165">
          <cell r="A165" t="str">
            <v>北マケドニア</v>
          </cell>
          <cell r="B165" t="str">
            <v>MKD</v>
          </cell>
          <cell r="C165" t="str">
            <v>North Macedonia</v>
          </cell>
        </row>
        <row r="166">
          <cell r="A166" t="str">
            <v>北マリアナ諸島</v>
          </cell>
          <cell r="B166" t="str">
            <v>MNP</v>
          </cell>
          <cell r="C166" t="str">
            <v>Northern Mariana Islands</v>
          </cell>
        </row>
        <row r="167">
          <cell r="A167" t="str">
            <v>ノルウェー</v>
          </cell>
          <cell r="B167" t="str">
            <v>NOR</v>
          </cell>
          <cell r="C167" t="str">
            <v>Norway</v>
          </cell>
        </row>
        <row r="168">
          <cell r="A168" t="str">
            <v>オマーン</v>
          </cell>
          <cell r="B168" t="str">
            <v>OMN</v>
          </cell>
          <cell r="C168" t="str">
            <v>Oman</v>
          </cell>
        </row>
        <row r="169">
          <cell r="A169" t="str">
            <v>パキスタン</v>
          </cell>
          <cell r="B169" t="str">
            <v>PAK</v>
          </cell>
          <cell r="C169" t="str">
            <v>Pakistan</v>
          </cell>
        </row>
        <row r="170">
          <cell r="A170" t="str">
            <v>パラオ</v>
          </cell>
          <cell r="B170" t="str">
            <v>PLW</v>
          </cell>
          <cell r="C170" t="str">
            <v>Palau</v>
          </cell>
        </row>
        <row r="171">
          <cell r="A171" t="str">
            <v>パレスチナ</v>
          </cell>
          <cell r="B171" t="str">
            <v>PSE</v>
          </cell>
          <cell r="C171" t="str">
            <v>Palestine</v>
          </cell>
        </row>
        <row r="172">
          <cell r="A172" t="str">
            <v>パナマ</v>
          </cell>
          <cell r="B172" t="str">
            <v>PAN</v>
          </cell>
          <cell r="C172" t="str">
            <v>Panama</v>
          </cell>
        </row>
        <row r="173">
          <cell r="A173" t="str">
            <v>パプアニューギニア</v>
          </cell>
          <cell r="B173" t="str">
            <v>PNG</v>
          </cell>
          <cell r="C173" t="str">
            <v>Papua New Guinea</v>
          </cell>
        </row>
        <row r="174">
          <cell r="A174" t="str">
            <v>パラグアイ</v>
          </cell>
          <cell r="B174" t="str">
            <v>PRY</v>
          </cell>
          <cell r="C174" t="str">
            <v>Paraguay</v>
          </cell>
        </row>
        <row r="175">
          <cell r="A175" t="str">
            <v>ペルー</v>
          </cell>
          <cell r="B175" t="str">
            <v>PER</v>
          </cell>
          <cell r="C175" t="str">
            <v>Peru</v>
          </cell>
        </row>
        <row r="176">
          <cell r="A176" t="str">
            <v>フィリピン</v>
          </cell>
          <cell r="B176" t="str">
            <v>PHL</v>
          </cell>
          <cell r="C176" t="str">
            <v>Philippines</v>
          </cell>
        </row>
        <row r="177">
          <cell r="A177" t="str">
            <v>ピトケアン諸島</v>
          </cell>
          <cell r="B177" t="str">
            <v>PCN</v>
          </cell>
          <cell r="C177" t="str">
            <v>Pitcairn</v>
          </cell>
        </row>
        <row r="178">
          <cell r="A178" t="str">
            <v>ポーランド</v>
          </cell>
          <cell r="B178" t="str">
            <v>POL</v>
          </cell>
          <cell r="C178" t="str">
            <v>Poland</v>
          </cell>
        </row>
        <row r="179">
          <cell r="A179" t="str">
            <v>ポルトガル</v>
          </cell>
          <cell r="B179" t="str">
            <v>PRT</v>
          </cell>
          <cell r="C179" t="str">
            <v>Portugal</v>
          </cell>
        </row>
        <row r="180">
          <cell r="A180" t="str">
            <v>プエルトリコ</v>
          </cell>
          <cell r="B180" t="str">
            <v>PRI</v>
          </cell>
          <cell r="C180" t="str">
            <v>Puerto Rico</v>
          </cell>
        </row>
        <row r="181">
          <cell r="A181" t="str">
            <v>カタール</v>
          </cell>
          <cell r="B181" t="str">
            <v>QAT</v>
          </cell>
          <cell r="C181" t="str">
            <v>Qatar</v>
          </cell>
        </row>
        <row r="182">
          <cell r="A182" t="str">
            <v>レユニオン</v>
          </cell>
          <cell r="B182" t="str">
            <v>REU</v>
          </cell>
          <cell r="C182" t="str">
            <v>Réunion</v>
          </cell>
        </row>
        <row r="183">
          <cell r="A183" t="str">
            <v>ルーマニア</v>
          </cell>
          <cell r="B183" t="str">
            <v>ROU</v>
          </cell>
          <cell r="C183" t="str">
            <v>Romania</v>
          </cell>
        </row>
        <row r="184">
          <cell r="A184" t="str">
            <v>ロシア</v>
          </cell>
          <cell r="B184" t="str">
            <v>RUS</v>
          </cell>
          <cell r="C184" t="str">
            <v>Russian Federation</v>
          </cell>
        </row>
        <row r="185">
          <cell r="A185" t="str">
            <v>ルワンダ</v>
          </cell>
          <cell r="B185" t="str">
            <v>RWA</v>
          </cell>
          <cell r="C185" t="str">
            <v>Rwanda</v>
          </cell>
        </row>
        <row r="186">
          <cell r="A186" t="str">
            <v>サン・バルテルミー</v>
          </cell>
          <cell r="B186" t="str">
            <v>BLM</v>
          </cell>
          <cell r="C186" t="str">
            <v>Saint Barthélemy</v>
          </cell>
        </row>
        <row r="187">
          <cell r="A187" t="str">
            <v>セントヘレナ・アセンションおよびトリスタンダクーニャ</v>
          </cell>
          <cell r="B187" t="str">
            <v>SHN</v>
          </cell>
          <cell r="C187" t="str">
            <v>Saint Helena</v>
          </cell>
        </row>
        <row r="188">
          <cell r="A188" t="str">
            <v>セントクリストファー・ネーヴィス</v>
          </cell>
          <cell r="B188" t="str">
            <v>KNA</v>
          </cell>
          <cell r="C188" t="str">
            <v>Saint Kitts and Nevis</v>
          </cell>
        </row>
        <row r="189">
          <cell r="A189" t="str">
            <v>セントルシア</v>
          </cell>
          <cell r="B189" t="str">
            <v>LCA</v>
          </cell>
          <cell r="C189" t="str">
            <v>Saint Lucia</v>
          </cell>
        </row>
        <row r="190">
          <cell r="A190" t="str">
            <v>サン・マルタン（フランス領）</v>
          </cell>
          <cell r="B190" t="str">
            <v>MAF</v>
          </cell>
          <cell r="C190" t="str">
            <v>Saint Martin (French part)</v>
          </cell>
        </row>
        <row r="191">
          <cell r="A191" t="str">
            <v>サンピエール島・ミクロン島</v>
          </cell>
          <cell r="B191" t="str">
            <v>SPM</v>
          </cell>
          <cell r="C191" t="str">
            <v>Saint Pierre and Miquelon</v>
          </cell>
        </row>
        <row r="192">
          <cell r="A192" t="str">
            <v>セントビンセントおよびグレナディーン諸島</v>
          </cell>
          <cell r="B192" t="str">
            <v>VCT</v>
          </cell>
          <cell r="C192" t="str">
            <v>Saint Vincent and the Grenadines</v>
          </cell>
        </row>
        <row r="193">
          <cell r="A193" t="str">
            <v>サモア</v>
          </cell>
          <cell r="B193" t="str">
            <v>WSM</v>
          </cell>
          <cell r="C193" t="str">
            <v>Samoa</v>
          </cell>
        </row>
        <row r="194">
          <cell r="A194" t="str">
            <v>サンマリノ</v>
          </cell>
          <cell r="B194" t="str">
            <v>SMR</v>
          </cell>
          <cell r="C194" t="str">
            <v>San Marino</v>
          </cell>
        </row>
        <row r="195">
          <cell r="A195" t="str">
            <v>サントメ・プリンシペ</v>
          </cell>
          <cell r="B195" t="str">
            <v>STP</v>
          </cell>
          <cell r="C195" t="str">
            <v>Sao Tome and Principe</v>
          </cell>
        </row>
        <row r="196">
          <cell r="A196" t="str">
            <v>サウジアラビア</v>
          </cell>
          <cell r="B196" t="str">
            <v>SAU</v>
          </cell>
          <cell r="C196" t="str">
            <v>Saudi Arabia</v>
          </cell>
        </row>
        <row r="197">
          <cell r="A197" t="str">
            <v>セネガル</v>
          </cell>
          <cell r="B197" t="str">
            <v>SEN</v>
          </cell>
          <cell r="C197" t="str">
            <v>Senegal</v>
          </cell>
        </row>
        <row r="198">
          <cell r="A198" t="str">
            <v>セルビア</v>
          </cell>
          <cell r="B198" t="str">
            <v>SRB</v>
          </cell>
          <cell r="C198" t="str">
            <v>Serbia</v>
          </cell>
        </row>
        <row r="199">
          <cell r="A199" t="str">
            <v>セーシェル</v>
          </cell>
          <cell r="B199" t="str">
            <v>SYC</v>
          </cell>
          <cell r="C199" t="str">
            <v>Seychelles</v>
          </cell>
        </row>
        <row r="200">
          <cell r="A200" t="str">
            <v>シエラレオネ</v>
          </cell>
          <cell r="B200" t="str">
            <v>SLE</v>
          </cell>
          <cell r="C200" t="str">
            <v>Sierra Leone</v>
          </cell>
        </row>
        <row r="201">
          <cell r="A201" t="str">
            <v>シンガポール</v>
          </cell>
          <cell r="B201" t="str">
            <v>SGP</v>
          </cell>
          <cell r="C201" t="str">
            <v>Singapore</v>
          </cell>
        </row>
        <row r="202">
          <cell r="A202" t="str">
            <v>シント・マールテン</v>
          </cell>
          <cell r="B202" t="str">
            <v>SXM</v>
          </cell>
          <cell r="C202" t="str">
            <v>Sint Maarten (Dutch part)</v>
          </cell>
        </row>
        <row r="203">
          <cell r="A203" t="str">
            <v>スロバキア</v>
          </cell>
          <cell r="B203" t="str">
            <v>SVK</v>
          </cell>
          <cell r="C203" t="str">
            <v>Slovakia</v>
          </cell>
        </row>
        <row r="204">
          <cell r="A204" t="str">
            <v>スロベニア</v>
          </cell>
          <cell r="B204" t="str">
            <v>SVN</v>
          </cell>
          <cell r="C204" t="str">
            <v>Slovenia</v>
          </cell>
        </row>
        <row r="205">
          <cell r="A205" t="str">
            <v>ソロモン諸島</v>
          </cell>
          <cell r="B205" t="str">
            <v>SLB</v>
          </cell>
          <cell r="C205" t="str">
            <v>Solomon Islands</v>
          </cell>
        </row>
        <row r="206">
          <cell r="A206" t="str">
            <v>ソマリア</v>
          </cell>
          <cell r="B206" t="str">
            <v>SOM</v>
          </cell>
          <cell r="C206" t="str">
            <v>Somalia</v>
          </cell>
        </row>
        <row r="207">
          <cell r="A207" t="str">
            <v>南アフリカ</v>
          </cell>
          <cell r="B207" t="str">
            <v>ZAF</v>
          </cell>
          <cell r="C207" t="str">
            <v>South Africa</v>
          </cell>
        </row>
        <row r="208">
          <cell r="A208" t="str">
            <v>サウスジョージア・サウスサンドウィッチ諸島</v>
          </cell>
          <cell r="B208" t="str">
            <v>SGS</v>
          </cell>
          <cell r="C208" t="str">
            <v>South Georgia and the South Sandwich Islands</v>
          </cell>
        </row>
        <row r="209">
          <cell r="A209" t="str">
            <v>南スーダン</v>
          </cell>
          <cell r="B209" t="str">
            <v>SSD</v>
          </cell>
          <cell r="C209" t="str">
            <v>South Sudan</v>
          </cell>
        </row>
        <row r="210">
          <cell r="A210" t="str">
            <v>スペイン</v>
          </cell>
          <cell r="B210" t="str">
            <v>ESP</v>
          </cell>
          <cell r="C210" t="str">
            <v>Spain</v>
          </cell>
        </row>
        <row r="211">
          <cell r="A211" t="str">
            <v>スリランカ</v>
          </cell>
          <cell r="B211" t="str">
            <v>LKA</v>
          </cell>
          <cell r="C211" t="str">
            <v>Sri Lanka</v>
          </cell>
        </row>
        <row r="212">
          <cell r="A212" t="str">
            <v>スーダン</v>
          </cell>
          <cell r="B212" t="str">
            <v>SDN</v>
          </cell>
          <cell r="C212" t="str">
            <v>Sudan</v>
          </cell>
        </row>
        <row r="213">
          <cell r="A213" t="str">
            <v>スリナム</v>
          </cell>
          <cell r="B213" t="str">
            <v>SUR</v>
          </cell>
          <cell r="C213" t="str">
            <v>Suriname</v>
          </cell>
        </row>
        <row r="214">
          <cell r="A214" t="str">
            <v>スヴァールバル諸島およびヤンマイエン島</v>
          </cell>
          <cell r="B214" t="str">
            <v>SJM</v>
          </cell>
          <cell r="C214" t="str">
            <v>Svalbard and Jan Mayen</v>
          </cell>
        </row>
        <row r="215">
          <cell r="A215" t="str">
            <v>スウェーデン</v>
          </cell>
          <cell r="B215" t="str">
            <v>SWE</v>
          </cell>
          <cell r="C215" t="str">
            <v>Sweden</v>
          </cell>
        </row>
        <row r="216">
          <cell r="A216" t="str">
            <v>スイス</v>
          </cell>
          <cell r="B216" t="str">
            <v>CHE</v>
          </cell>
          <cell r="C216" t="str">
            <v>Switzerland</v>
          </cell>
        </row>
        <row r="217">
          <cell r="A217" t="str">
            <v>シリア</v>
          </cell>
          <cell r="B217" t="str">
            <v>SYR</v>
          </cell>
          <cell r="C217" t="str">
            <v>Syrian Arab Republic</v>
          </cell>
        </row>
        <row r="218">
          <cell r="A218" t="str">
            <v>台湾</v>
          </cell>
          <cell r="B218" t="str">
            <v>TWN</v>
          </cell>
          <cell r="C218" t="str">
            <v>Taiwan</v>
          </cell>
        </row>
        <row r="219">
          <cell r="A219" t="str">
            <v>タジキスタン</v>
          </cell>
          <cell r="B219" t="str">
            <v>TJK</v>
          </cell>
          <cell r="C219" t="str">
            <v>Tajikistan</v>
          </cell>
        </row>
        <row r="220">
          <cell r="A220" t="str">
            <v>タンザニア</v>
          </cell>
          <cell r="B220" t="str">
            <v>TZA</v>
          </cell>
          <cell r="C220" t="str">
            <v>Tanzania</v>
          </cell>
        </row>
        <row r="221">
          <cell r="A221" t="str">
            <v>タイ</v>
          </cell>
          <cell r="B221" t="str">
            <v>THA</v>
          </cell>
          <cell r="C221" t="str">
            <v>Thailand</v>
          </cell>
        </row>
        <row r="222">
          <cell r="A222" t="str">
            <v>東ティモール</v>
          </cell>
          <cell r="B222" t="str">
            <v>TLS</v>
          </cell>
          <cell r="C222" t="str">
            <v>Timor-Leste</v>
          </cell>
        </row>
        <row r="223">
          <cell r="A223" t="str">
            <v>トーゴ</v>
          </cell>
          <cell r="B223" t="str">
            <v>TGO</v>
          </cell>
          <cell r="C223" t="str">
            <v>Togo</v>
          </cell>
        </row>
        <row r="224">
          <cell r="A224" t="str">
            <v>トケラウ</v>
          </cell>
          <cell r="B224" t="str">
            <v>TKL</v>
          </cell>
          <cell r="C224" t="str">
            <v>Tokelau</v>
          </cell>
        </row>
        <row r="225">
          <cell r="A225" t="str">
            <v>トンガ</v>
          </cell>
          <cell r="B225" t="str">
            <v>TON</v>
          </cell>
          <cell r="C225" t="str">
            <v>Tonga</v>
          </cell>
        </row>
        <row r="226">
          <cell r="A226" t="str">
            <v>トリニダード・トバゴ</v>
          </cell>
          <cell r="B226" t="str">
            <v>TTO</v>
          </cell>
          <cell r="C226" t="str">
            <v>Trinidad and Tobago</v>
          </cell>
        </row>
        <row r="227">
          <cell r="A227" t="str">
            <v>チュニジア</v>
          </cell>
          <cell r="B227" t="str">
            <v>TUN</v>
          </cell>
          <cell r="C227" t="str">
            <v>Tunisia</v>
          </cell>
        </row>
        <row r="228">
          <cell r="A228" t="str">
            <v>トルコ</v>
          </cell>
          <cell r="B228" t="str">
            <v>TUR</v>
          </cell>
          <cell r="C228" t="str">
            <v>Türkiye</v>
          </cell>
        </row>
        <row r="229">
          <cell r="A229" t="str">
            <v>トルクメニスタン</v>
          </cell>
          <cell r="B229" t="str">
            <v>TKM</v>
          </cell>
          <cell r="C229" t="str">
            <v>Turkmenistan</v>
          </cell>
        </row>
        <row r="230">
          <cell r="A230" t="str">
            <v>タークス・カイコス諸島</v>
          </cell>
          <cell r="B230" t="str">
            <v>TCA</v>
          </cell>
          <cell r="C230" t="str">
            <v>Turks and Caicos Islands</v>
          </cell>
        </row>
        <row r="231">
          <cell r="A231" t="str">
            <v>ツバル</v>
          </cell>
          <cell r="B231" t="str">
            <v>TUV</v>
          </cell>
          <cell r="C231" t="str">
            <v>Tuvalu</v>
          </cell>
        </row>
        <row r="232">
          <cell r="A232" t="str">
            <v>ウガンダ</v>
          </cell>
          <cell r="B232" t="str">
            <v>UGA</v>
          </cell>
          <cell r="C232" t="str">
            <v>Uganda</v>
          </cell>
        </row>
        <row r="233">
          <cell r="A233" t="str">
            <v>ウクライナ</v>
          </cell>
          <cell r="B233" t="str">
            <v>UKR</v>
          </cell>
          <cell r="C233" t="str">
            <v>Ukraine</v>
          </cell>
        </row>
        <row r="234">
          <cell r="A234" t="str">
            <v>UAE</v>
          </cell>
          <cell r="B234" t="str">
            <v>ARE</v>
          </cell>
          <cell r="C234" t="str">
            <v>United Arab Emirates</v>
          </cell>
        </row>
        <row r="235">
          <cell r="A235" t="str">
            <v>イギリス</v>
          </cell>
          <cell r="B235" t="str">
            <v>GBR</v>
          </cell>
          <cell r="C235" t="str">
            <v>Britain</v>
          </cell>
        </row>
        <row r="236">
          <cell r="A236" t="str">
            <v>アメリカ</v>
          </cell>
          <cell r="B236" t="str">
            <v>USA</v>
          </cell>
          <cell r="C236" t="str">
            <v>America</v>
          </cell>
        </row>
        <row r="237">
          <cell r="A237" t="str">
            <v>合衆国外諸島</v>
          </cell>
          <cell r="B237" t="str">
            <v>UMI</v>
          </cell>
          <cell r="C237" t="str">
            <v>United States Minor Outlying Islands</v>
          </cell>
        </row>
        <row r="238">
          <cell r="A238" t="str">
            <v>ウルグアイ</v>
          </cell>
          <cell r="B238" t="str">
            <v>URY</v>
          </cell>
          <cell r="C238" t="str">
            <v>Uruguay</v>
          </cell>
        </row>
        <row r="239">
          <cell r="A239" t="str">
            <v>ウズベキスタン</v>
          </cell>
          <cell r="B239" t="str">
            <v>UZB</v>
          </cell>
          <cell r="C239" t="str">
            <v>Uzbekistan</v>
          </cell>
        </row>
        <row r="240">
          <cell r="A240" t="str">
            <v>バヌアツ</v>
          </cell>
          <cell r="B240" t="str">
            <v>VUT</v>
          </cell>
          <cell r="C240" t="str">
            <v>Vanuatu</v>
          </cell>
        </row>
        <row r="241">
          <cell r="A241" t="str">
            <v>ベネズエラ</v>
          </cell>
          <cell r="B241" t="str">
            <v>VEN</v>
          </cell>
          <cell r="C241" t="str">
            <v>Venezuela</v>
          </cell>
        </row>
        <row r="242">
          <cell r="A242" t="str">
            <v>ベトナム</v>
          </cell>
          <cell r="B242" t="str">
            <v>VNM</v>
          </cell>
          <cell r="C242" t="str">
            <v>Viet Nam</v>
          </cell>
        </row>
        <row r="243">
          <cell r="A243" t="str">
            <v>ウォリス・フツナ</v>
          </cell>
          <cell r="B243" t="str">
            <v>WLF</v>
          </cell>
          <cell r="C243" t="str">
            <v>Wallis and Futuna</v>
          </cell>
        </row>
        <row r="244">
          <cell r="A244" t="str">
            <v>西サハラ</v>
          </cell>
          <cell r="B244" t="str">
            <v>ESH</v>
          </cell>
          <cell r="C244" t="str">
            <v>Western Sahara</v>
          </cell>
        </row>
        <row r="245">
          <cell r="A245" t="str">
            <v>イエメン</v>
          </cell>
          <cell r="B245" t="str">
            <v>YEM</v>
          </cell>
          <cell r="C245" t="str">
            <v>Yemen</v>
          </cell>
        </row>
        <row r="246">
          <cell r="A246" t="str">
            <v>ザンビア</v>
          </cell>
          <cell r="B246" t="str">
            <v>ZMB</v>
          </cell>
          <cell r="C246" t="str">
            <v>Zambia</v>
          </cell>
        </row>
        <row r="247">
          <cell r="A247" t="str">
            <v>ジンバブエ</v>
          </cell>
          <cell r="B247" t="str">
            <v>ZWE</v>
          </cell>
          <cell r="C247" t="str">
            <v>Zimbabwe</v>
          </cell>
        </row>
        <row r="248">
          <cell r="A248" t="str">
            <v>CPTPP</v>
          </cell>
          <cell r="B248" t="str">
            <v>CPTPP</v>
          </cell>
          <cell r="C248" t="str">
            <v>Comprehensive and Progressive Agreement for Trans-Pacific Partnership</v>
          </cell>
        </row>
        <row r="249">
          <cell r="A249" t="str">
            <v>欧州連合</v>
          </cell>
          <cell r="B249" t="str">
            <v>EU</v>
          </cell>
          <cell r="C249" t="str">
            <v>EU</v>
          </cell>
        </row>
        <row r="250">
          <cell r="A250" t="str">
            <v>コソボ</v>
          </cell>
          <cell r="B250" t="str">
            <v>XKK</v>
          </cell>
          <cell r="C250" t="str">
            <v>Kosovo</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bloomberg.com/news/articles/2026-03-31/paraguay-names-interim-finance-chief-after-fernandez-resigns" TargetMode="External"/><Relationship Id="rId2" Type="http://schemas.openxmlformats.org/officeDocument/2006/relationships/hyperlink" Target="https://www.bloomberg.com/news/articles/2026-03-30/russian-oil-shipment-buys-us-and-cuba-time-as-crisis-festers" TargetMode="External"/><Relationship Id="rId1" Type="http://schemas.openxmlformats.org/officeDocument/2006/relationships/hyperlink" Target="https://www.reuters.com/world/europe/exit-polls-suggest-italys-meloni-has-narrowly-lost-justice-referendum-vote-2026-03-23/" TargetMode="External"/><Relationship Id="rId4" Type="http://schemas.openxmlformats.org/officeDocument/2006/relationships/hyperlink" Target="https://www.bloomberg.com/news/articles/2026-03-31/third-us-aircraft-carrier-heads-to-mideast-as-iran-war-contin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53815-6F7F-462F-8165-5CE05A98A928}">
  <dimension ref="A1:S69"/>
  <sheetViews>
    <sheetView tabSelected="1" workbookViewId="0">
      <pane ySplit="1" topLeftCell="A2" activePane="bottomLeft" state="frozen"/>
      <selection pane="bottomLeft" activeCell="P48" sqref="P48"/>
    </sheetView>
  </sheetViews>
  <sheetFormatPr defaultRowHeight="18"/>
  <cols>
    <col min="1" max="2" width="8.796875" style="2"/>
    <col min="4" max="5" width="44.5" customWidth="1"/>
    <col min="10" max="13" width="8.796875" style="2"/>
    <col min="16" max="16" width="10.3984375" bestFit="1" customWidth="1"/>
  </cols>
  <sheetData>
    <row r="1" spans="1:19">
      <c r="A1" s="2" t="s">
        <v>0</v>
      </c>
      <c r="B1" s="2" t="s">
        <v>1</v>
      </c>
      <c r="C1" t="s">
        <v>2</v>
      </c>
      <c r="D1" t="s">
        <v>3</v>
      </c>
      <c r="E1" t="s">
        <v>4</v>
      </c>
      <c r="F1" t="s">
        <v>5</v>
      </c>
      <c r="G1" t="s">
        <v>6</v>
      </c>
      <c r="H1" t="s">
        <v>7</v>
      </c>
      <c r="I1" t="s">
        <v>8</v>
      </c>
      <c r="J1" s="2" t="s">
        <v>9</v>
      </c>
      <c r="K1" s="2" t="s">
        <v>10</v>
      </c>
      <c r="L1" s="2" t="s">
        <v>11</v>
      </c>
      <c r="M1" s="2" t="s">
        <v>12</v>
      </c>
      <c r="N1" t="s">
        <v>13</v>
      </c>
      <c r="O1" t="s">
        <v>14</v>
      </c>
      <c r="P1" t="s">
        <v>15</v>
      </c>
      <c r="Q1" t="s">
        <v>16</v>
      </c>
      <c r="R1" t="s">
        <v>17</v>
      </c>
      <c r="S1" t="s">
        <v>18</v>
      </c>
    </row>
    <row r="2" spans="1:19">
      <c r="A2" s="2" t="str">
        <f>IF(C2="","",VLOOKUP(C2,[1]ISO辞書!A:C,2,FALSE))</f>
        <v>SVN</v>
      </c>
      <c r="B2" s="3" t="str">
        <f>IF(C2="","",VLOOKUP(C2,[1]ISO辞書!A:C,3,FALSE))</f>
        <v>Slovenia</v>
      </c>
      <c r="C2" t="s">
        <v>161</v>
      </c>
      <c r="D2" t="s">
        <v>162</v>
      </c>
      <c r="E2" t="s">
        <v>163</v>
      </c>
      <c r="F2" t="s">
        <v>164</v>
      </c>
      <c r="J2" s="2" t="str">
        <f>IF(G2="","",VLOOKUP(G2,[1]ISO辞書!A:B,2,FALSE))</f>
        <v/>
      </c>
      <c r="K2" s="2" t="str">
        <f>IF(H2="","",VLOOKUP(H2,[1]ISO辞書!A:B,2,FALSE))</f>
        <v/>
      </c>
      <c r="L2" s="2" t="str">
        <f>IF(I2="","",VLOOKUP(I2,[1]ISO辞書!A:B,2,FALSE))</f>
        <v/>
      </c>
      <c r="M2" s="3" t="str">
        <f>_xlfn.TEXTJOIN(";",TRUE,J2:L2)</f>
        <v/>
      </c>
      <c r="N2" t="s">
        <v>165</v>
      </c>
      <c r="O2" t="s">
        <v>79</v>
      </c>
      <c r="P2" s="1">
        <v>46103</v>
      </c>
      <c r="Q2" t="s">
        <v>159</v>
      </c>
      <c r="R2" t="s">
        <v>166</v>
      </c>
      <c r="S2">
        <v>2</v>
      </c>
    </row>
    <row r="3" spans="1:19">
      <c r="A3" s="2" t="str">
        <f>IF(C3="","",VLOOKUP(C3,[1]ISO辞書!A:C,2,FALSE))</f>
        <v>TCD</v>
      </c>
      <c r="B3" s="3" t="str">
        <f>IF(C3="","",VLOOKUP(C3,[1]ISO辞書!A:C,3,FALSE))</f>
        <v>Chad</v>
      </c>
      <c r="C3" t="s">
        <v>19</v>
      </c>
      <c r="D3" t="s">
        <v>20</v>
      </c>
      <c r="E3" t="s">
        <v>21</v>
      </c>
      <c r="F3" t="s">
        <v>22</v>
      </c>
      <c r="G3" t="s">
        <v>23</v>
      </c>
      <c r="J3" s="2" t="str">
        <f>IF(G3="","",VLOOKUP(G3,[1]ISO辞書!A:B,2,FALSE))</f>
        <v>SDN</v>
      </c>
      <c r="K3" s="2" t="str">
        <f>IF(H3="","",VLOOKUP(H3,[1]ISO辞書!A:B,2,FALSE))</f>
        <v/>
      </c>
      <c r="L3" s="2" t="str">
        <f>IF(I3="","",VLOOKUP(I3,[1]ISO辞書!A:B,2,FALSE))</f>
        <v/>
      </c>
      <c r="M3" s="3" t="str">
        <f>_xlfn.TEXTJOIN(";",TRUE,J3:L3)</f>
        <v>SDN</v>
      </c>
      <c r="N3" t="s">
        <v>24</v>
      </c>
      <c r="O3" t="s">
        <v>25</v>
      </c>
      <c r="P3" s="1">
        <v>46104</v>
      </c>
      <c r="Q3" t="s">
        <v>26</v>
      </c>
      <c r="R3" t="s">
        <v>27</v>
      </c>
      <c r="S3">
        <v>1</v>
      </c>
    </row>
    <row r="4" spans="1:19">
      <c r="A4" s="2" t="str">
        <f>IF(C4="","",VLOOKUP(C4,[1]ISO辞書!A:C,2,FALSE))</f>
        <v>CRI</v>
      </c>
      <c r="B4" s="3" t="str">
        <f>IF(C4="","",VLOOKUP(C4,[1]ISO辞書!A:C,3,FALSE))</f>
        <v>Costa Rica</v>
      </c>
      <c r="C4" t="s">
        <v>59</v>
      </c>
      <c r="D4" t="s">
        <v>60</v>
      </c>
      <c r="E4" t="s">
        <v>61</v>
      </c>
      <c r="F4" t="s">
        <v>24</v>
      </c>
      <c r="G4" t="s">
        <v>28</v>
      </c>
      <c r="J4" s="2" t="str">
        <f>IF(G4="","",VLOOKUP(G4,[1]ISO辞書!A:B,2,FALSE))</f>
        <v>USA</v>
      </c>
      <c r="K4" s="2" t="str">
        <f>IF(H4="","",VLOOKUP(H4,[1]ISO辞書!A:B,2,FALSE))</f>
        <v/>
      </c>
      <c r="L4" s="2" t="str">
        <f>IF(I4="","",VLOOKUP(I4,[1]ISO辞書!A:B,2,FALSE))</f>
        <v/>
      </c>
      <c r="M4" s="3" t="str">
        <f>_xlfn.TEXTJOIN(";",TRUE,J4:L4)</f>
        <v>USA</v>
      </c>
      <c r="N4" t="s">
        <v>24</v>
      </c>
      <c r="O4" t="s">
        <v>53</v>
      </c>
      <c r="P4" s="1">
        <v>46104</v>
      </c>
      <c r="Q4" t="s">
        <v>26</v>
      </c>
      <c r="R4" t="s">
        <v>62</v>
      </c>
      <c r="S4">
        <v>4</v>
      </c>
    </row>
    <row r="5" spans="1:19">
      <c r="A5" s="2" t="str">
        <f>IF(C5="","",VLOOKUP(C5,[1]ISO辞書!A:C,2,FALSE))</f>
        <v>CHN</v>
      </c>
      <c r="B5" s="3" t="str">
        <f>IF(C5="","",VLOOKUP(C5,[1]ISO辞書!A:C,3,FALSE))</f>
        <v>China</v>
      </c>
      <c r="C5" t="s">
        <v>71</v>
      </c>
      <c r="D5" t="s">
        <v>106</v>
      </c>
      <c r="E5" t="s">
        <v>107</v>
      </c>
      <c r="F5" t="s">
        <v>79</v>
      </c>
      <c r="J5" s="2" t="str">
        <f>IF(G5="","",VLOOKUP(G5,[1]ISO辞書!A:B,2,FALSE))</f>
        <v/>
      </c>
      <c r="K5" s="2" t="str">
        <f>IF(H5="","",VLOOKUP(H5,[1]ISO辞書!A:B,2,FALSE))</f>
        <v/>
      </c>
      <c r="L5" s="2" t="str">
        <f>IF(I5="","",VLOOKUP(I5,[1]ISO辞書!A:B,2,FALSE))</f>
        <v/>
      </c>
      <c r="M5" s="3" t="str">
        <f>_xlfn.TEXTJOIN(";",TRUE,J5:L5)</f>
        <v/>
      </c>
      <c r="N5" t="s">
        <v>80</v>
      </c>
      <c r="O5" t="s">
        <v>80</v>
      </c>
      <c r="P5" s="1">
        <v>46104</v>
      </c>
      <c r="Q5" t="s">
        <v>26</v>
      </c>
      <c r="R5" t="s">
        <v>108</v>
      </c>
      <c r="S5">
        <v>5</v>
      </c>
    </row>
    <row r="6" spans="1:19">
      <c r="A6" s="2" t="str">
        <f>IF(C6="","",VLOOKUP(C6,[1]ISO辞書!A:C,2,FALSE))</f>
        <v>ISR</v>
      </c>
      <c r="B6" s="3" t="str">
        <f>IF(C6="","",VLOOKUP(C6,[1]ISO辞書!A:C,3,FALSE))</f>
        <v>Israel</v>
      </c>
      <c r="C6" t="s">
        <v>153</v>
      </c>
      <c r="D6" t="s">
        <v>154</v>
      </c>
      <c r="E6" t="s">
        <v>155</v>
      </c>
      <c r="F6" t="s">
        <v>156</v>
      </c>
      <c r="G6" t="s">
        <v>157</v>
      </c>
      <c r="J6" s="2" t="str">
        <f>IF(G6="","",VLOOKUP(G6,[1]ISO辞書!A:B,2,FALSE))</f>
        <v>LBN</v>
      </c>
      <c r="K6" s="2" t="str">
        <f>IF(H6="","",VLOOKUP(H6,[1]ISO辞書!A:B,2,FALSE))</f>
        <v/>
      </c>
      <c r="L6" s="2" t="str">
        <f>IF(I6="","",VLOOKUP(I6,[1]ISO辞書!A:B,2,FALSE))</f>
        <v/>
      </c>
      <c r="M6" s="3" t="str">
        <f>_xlfn.TEXTJOIN(";",TRUE,J6:L6)</f>
        <v>LBN</v>
      </c>
      <c r="N6" t="s">
        <v>158</v>
      </c>
      <c r="O6" t="s">
        <v>69</v>
      </c>
      <c r="P6" s="1">
        <v>46104</v>
      </c>
      <c r="Q6" t="s">
        <v>159</v>
      </c>
      <c r="R6" s="4" t="s">
        <v>160</v>
      </c>
      <c r="S6">
        <v>4</v>
      </c>
    </row>
    <row r="7" spans="1:19">
      <c r="A7" s="2" t="str">
        <f>IF(C7="","",VLOOKUP(C7,[1]ISO辞書!A:C,2,FALSE))</f>
        <v>ITA</v>
      </c>
      <c r="B7" s="3" t="str">
        <f>IF(C7="","",VLOOKUP(C7,[1]ISO辞書!A:C,3,FALSE))</f>
        <v>Italy</v>
      </c>
      <c r="C7" t="s">
        <v>167</v>
      </c>
      <c r="D7" t="s">
        <v>168</v>
      </c>
      <c r="E7" t="s">
        <v>169</v>
      </c>
      <c r="F7" t="s">
        <v>170</v>
      </c>
      <c r="J7" s="2" t="str">
        <f>IF(G7="","",VLOOKUP(G7,[1]ISO辞書!A:B,2,FALSE))</f>
        <v/>
      </c>
      <c r="K7" s="2" t="str">
        <f>IF(H7="","",VLOOKUP(H7,[1]ISO辞書!A:B,2,FALSE))</f>
        <v/>
      </c>
      <c r="L7" s="2" t="str">
        <f>IF(I7="","",VLOOKUP(I7,[1]ISO辞書!A:B,2,FALSE))</f>
        <v/>
      </c>
      <c r="M7" s="3" t="str">
        <f>_xlfn.TEXTJOIN(";",TRUE,J7:L7)</f>
        <v/>
      </c>
      <c r="N7" t="s">
        <v>165</v>
      </c>
      <c r="O7" t="s">
        <v>79</v>
      </c>
      <c r="P7" s="1">
        <v>46104</v>
      </c>
      <c r="Q7" t="s">
        <v>159</v>
      </c>
      <c r="R7" s="5" t="s">
        <v>171</v>
      </c>
      <c r="S7">
        <v>5</v>
      </c>
    </row>
    <row r="8" spans="1:19">
      <c r="A8" s="2" t="str">
        <f>IF(C8="","",VLOOKUP(C8,[1]ISO辞書!A:C,2,FALSE))</f>
        <v>JPN</v>
      </c>
      <c r="B8" s="3" t="str">
        <f>IF(C8="","",VLOOKUP(C8,[1]ISO辞書!A:C,3,FALSE))</f>
        <v>Japan</v>
      </c>
      <c r="C8" t="s">
        <v>102</v>
      </c>
      <c r="D8" t="s">
        <v>103</v>
      </c>
      <c r="E8" t="s">
        <v>104</v>
      </c>
      <c r="F8" t="s">
        <v>24</v>
      </c>
      <c r="G8" t="s">
        <v>71</v>
      </c>
      <c r="J8" s="2" t="str">
        <f>IF(G8="","",VLOOKUP(G8,[1]ISO辞書!A:B,2,FALSE))</f>
        <v>CHN</v>
      </c>
      <c r="K8" s="2" t="str">
        <f>IF(H8="","",VLOOKUP(H8,[1]ISO辞書!A:B,2,FALSE))</f>
        <v/>
      </c>
      <c r="L8" s="2" t="str">
        <f>IF(I8="","",VLOOKUP(I8,[1]ISO辞書!A:B,2,FALSE))</f>
        <v/>
      </c>
      <c r="M8" s="3" t="str">
        <f>_xlfn.TEXTJOIN(";",TRUE,J8:L8)</f>
        <v>CHN</v>
      </c>
      <c r="N8" t="s">
        <v>24</v>
      </c>
      <c r="O8" t="s">
        <v>53</v>
      </c>
      <c r="P8" s="1">
        <v>46105</v>
      </c>
      <c r="Q8" t="s">
        <v>26</v>
      </c>
      <c r="R8" t="s">
        <v>105</v>
      </c>
      <c r="S8">
        <v>5</v>
      </c>
    </row>
    <row r="9" spans="1:19">
      <c r="A9" s="2" t="str">
        <f>IF(C9="","",VLOOKUP(C9,[1]ISO辞書!A:C,2,FALSE))</f>
        <v>ISR</v>
      </c>
      <c r="B9" s="3" t="str">
        <f>IF(C9="","",VLOOKUP(C9,[1]ISO辞書!A:C,3,FALSE))</f>
        <v>Israel</v>
      </c>
      <c r="C9" t="s">
        <v>67</v>
      </c>
      <c r="D9" t="s">
        <v>131</v>
      </c>
      <c r="E9" t="s">
        <v>132</v>
      </c>
      <c r="F9" t="s">
        <v>69</v>
      </c>
      <c r="G9" t="s">
        <v>133</v>
      </c>
      <c r="J9" s="2" t="str">
        <f>IF(G9="","",VLOOKUP(G9,[1]ISO辞書!A:B,2,FALSE))</f>
        <v>LBN</v>
      </c>
      <c r="K9" s="2" t="str">
        <f>IF(H9="","",VLOOKUP(H9,[1]ISO辞書!A:B,2,FALSE))</f>
        <v/>
      </c>
      <c r="L9" s="2" t="str">
        <f>IF(I9="","",VLOOKUP(I9,[1]ISO辞書!A:B,2,FALSE))</f>
        <v/>
      </c>
      <c r="M9" s="3" t="str">
        <f>_xlfn.TEXTJOIN(";",TRUE,J9:L9)</f>
        <v>LBN</v>
      </c>
      <c r="N9" t="s">
        <v>68</v>
      </c>
      <c r="O9" t="s">
        <v>69</v>
      </c>
      <c r="P9" s="1">
        <v>46105</v>
      </c>
      <c r="Q9" t="s">
        <v>26</v>
      </c>
      <c r="R9" t="s">
        <v>134</v>
      </c>
      <c r="S9">
        <v>5</v>
      </c>
    </row>
    <row r="10" spans="1:19">
      <c r="A10" s="2" t="str">
        <f>IF(C10="","",VLOOKUP(C10,[1]ISO辞書!A:C,2,FALSE))</f>
        <v>EU</v>
      </c>
      <c r="B10" s="3" t="str">
        <f>IF(C10="","",VLOOKUP(C10,[1]ISO辞書!A:C,3,FALSE))</f>
        <v>EU</v>
      </c>
      <c r="C10" t="s">
        <v>42</v>
      </c>
      <c r="D10" t="s">
        <v>147</v>
      </c>
      <c r="E10" t="s">
        <v>148</v>
      </c>
      <c r="G10" t="s">
        <v>149</v>
      </c>
      <c r="J10" s="2" t="str">
        <f>IF(G10="","",VLOOKUP(G10,[1]ISO辞書!A:B,2,FALSE))</f>
        <v>AUS</v>
      </c>
      <c r="K10" s="2" t="str">
        <f>IF(H10="","",VLOOKUP(H10,[1]ISO辞書!A:B,2,FALSE))</f>
        <v/>
      </c>
      <c r="L10" s="2" t="str">
        <f>IF(I10="","",VLOOKUP(I10,[1]ISO辞書!A:B,2,FALSE))</f>
        <v/>
      </c>
      <c r="M10" s="3" t="str">
        <f>_xlfn.TEXTJOIN(";",TRUE,J10:L10)</f>
        <v>AUS</v>
      </c>
      <c r="N10" t="s">
        <v>24</v>
      </c>
      <c r="O10" t="s">
        <v>40</v>
      </c>
      <c r="P10" s="1">
        <v>46105</v>
      </c>
      <c r="Q10" t="s">
        <v>26</v>
      </c>
      <c r="R10" t="s">
        <v>150</v>
      </c>
      <c r="S10">
        <v>5</v>
      </c>
    </row>
    <row r="11" spans="1:19">
      <c r="A11" s="2" t="str">
        <f>IF(C11="","",VLOOKUP(C11,[1]ISO辞書!A:C,2,FALSE))</f>
        <v>MEX</v>
      </c>
      <c r="B11" s="3" t="str">
        <f>IF(C11="","",VLOOKUP(C11,[1]ISO辞書!A:C,3,FALSE))</f>
        <v>Mexico</v>
      </c>
      <c r="C11" t="s">
        <v>50</v>
      </c>
      <c r="D11" t="s">
        <v>51</v>
      </c>
      <c r="E11" t="s">
        <v>52</v>
      </c>
      <c r="F11" t="s">
        <v>24</v>
      </c>
      <c r="G11" t="s">
        <v>31</v>
      </c>
      <c r="J11" s="2" t="str">
        <f>IF(G11="","",VLOOKUP(G11,[1]ISO辞書!A:B,2,FALSE))</f>
        <v>CUB</v>
      </c>
      <c r="K11" s="2" t="str">
        <f>IF(H11="","",VLOOKUP(H11,[1]ISO辞書!A:B,2,FALSE))</f>
        <v/>
      </c>
      <c r="L11" s="2" t="str">
        <f>IF(I11="","",VLOOKUP(I11,[1]ISO辞書!A:B,2,FALSE))</f>
        <v/>
      </c>
      <c r="M11" s="3" t="str">
        <f>_xlfn.TEXTJOIN(";",TRUE,J11:L11)</f>
        <v>CUB</v>
      </c>
      <c r="N11" t="s">
        <v>24</v>
      </c>
      <c r="O11" t="s">
        <v>53</v>
      </c>
      <c r="P11" s="1">
        <v>46106</v>
      </c>
      <c r="Q11" t="s">
        <v>26</v>
      </c>
      <c r="R11" t="s">
        <v>54</v>
      </c>
      <c r="S11">
        <v>2</v>
      </c>
    </row>
    <row r="12" spans="1:19">
      <c r="A12" s="2" t="str">
        <f>IF(C12="","",VLOOKUP(C12,[1]ISO辞書!A:C,2,FALSE))</f>
        <v>CYP</v>
      </c>
      <c r="B12" s="3" t="str">
        <f>IF(C12="","",VLOOKUP(C12,[1]ISO辞書!A:C,3,FALSE))</f>
        <v>Cyprus</v>
      </c>
      <c r="C12" t="s">
        <v>117</v>
      </c>
      <c r="D12" t="s">
        <v>118</v>
      </c>
      <c r="E12" t="s">
        <v>119</v>
      </c>
      <c r="F12" t="s">
        <v>24</v>
      </c>
      <c r="G12" t="s">
        <v>120</v>
      </c>
      <c r="J12" s="2" t="str">
        <f>IF(G12="","",VLOOKUP(G12,[1]ISO辞書!A:B,2,FALSE))</f>
        <v>GBR</v>
      </c>
      <c r="K12" s="2" t="str">
        <f>IF(H12="","",VLOOKUP(H12,[1]ISO辞書!A:B,2,FALSE))</f>
        <v/>
      </c>
      <c r="L12" s="2" t="str">
        <f>IF(I12="","",VLOOKUP(I12,[1]ISO辞書!A:B,2,FALSE))</f>
        <v/>
      </c>
      <c r="M12" s="3" t="str">
        <f>_xlfn.TEXTJOIN(";",TRUE,J12:L12)</f>
        <v>GBR</v>
      </c>
      <c r="N12" t="s">
        <v>24</v>
      </c>
      <c r="O12" t="s">
        <v>74</v>
      </c>
      <c r="P12" s="1">
        <v>46106</v>
      </c>
      <c r="Q12" t="s">
        <v>26</v>
      </c>
      <c r="R12" t="s">
        <v>121</v>
      </c>
      <c r="S12">
        <v>4</v>
      </c>
    </row>
    <row r="13" spans="1:19">
      <c r="A13" s="2" t="str">
        <f>IF(C13="","",VLOOKUP(C13,[1]ISO辞書!A:C,2,FALSE))</f>
        <v>DNK</v>
      </c>
      <c r="B13" s="3" t="str">
        <f>IF(C13="","",VLOOKUP(C13,[1]ISO辞書!A:C,3,FALSE))</f>
        <v>Denmark</v>
      </c>
      <c r="C13" t="s">
        <v>122</v>
      </c>
      <c r="D13" t="s">
        <v>123</v>
      </c>
      <c r="E13" t="s">
        <v>124</v>
      </c>
      <c r="F13" t="s">
        <v>79</v>
      </c>
      <c r="J13" s="2" t="str">
        <f>IF(G13="","",VLOOKUP(G13,[1]ISO辞書!A:B,2,FALSE))</f>
        <v/>
      </c>
      <c r="K13" s="2" t="str">
        <f>IF(H13="","",VLOOKUP(H13,[1]ISO辞書!A:B,2,FALSE))</f>
        <v/>
      </c>
      <c r="L13" s="2" t="str">
        <f>IF(I13="","",VLOOKUP(I13,[1]ISO辞書!A:B,2,FALSE))</f>
        <v/>
      </c>
      <c r="M13" s="3" t="str">
        <f>_xlfn.TEXTJOIN(";",TRUE,J13:L13)</f>
        <v/>
      </c>
      <c r="N13" t="s">
        <v>80</v>
      </c>
      <c r="O13" t="s">
        <v>80</v>
      </c>
      <c r="P13" s="1">
        <v>46106</v>
      </c>
      <c r="Q13" t="s">
        <v>26</v>
      </c>
      <c r="R13" t="s">
        <v>125</v>
      </c>
      <c r="S13">
        <v>3</v>
      </c>
    </row>
    <row r="14" spans="1:19">
      <c r="A14" s="2" t="str">
        <f>IF(C14="","",VLOOKUP(C14,[1]ISO辞書!A:C,2,FALSE))</f>
        <v>GBR</v>
      </c>
      <c r="B14" s="3" t="str">
        <f>IF(C14="","",VLOOKUP(C14,[1]ISO辞書!A:C,3,FALSE))</f>
        <v>Britain</v>
      </c>
      <c r="C14" t="s">
        <v>120</v>
      </c>
      <c r="D14" t="s">
        <v>135</v>
      </c>
      <c r="E14" t="s">
        <v>136</v>
      </c>
      <c r="F14" t="s">
        <v>24</v>
      </c>
      <c r="G14" t="s">
        <v>137</v>
      </c>
      <c r="J14" s="2" t="str">
        <f>IF(G14="","",VLOOKUP(G14,[1]ISO辞書!A:B,2,FALSE))</f>
        <v>TUR</v>
      </c>
      <c r="K14" s="2" t="str">
        <f>IF(H14="","",VLOOKUP(H14,[1]ISO辞書!A:B,2,FALSE))</f>
        <v/>
      </c>
      <c r="L14" s="2" t="str">
        <f>IF(I14="","",VLOOKUP(I14,[1]ISO辞書!A:B,2,FALSE))</f>
        <v/>
      </c>
      <c r="M14" s="3" t="str">
        <f>_xlfn.TEXTJOIN(";",TRUE,J14:L14)</f>
        <v>TUR</v>
      </c>
      <c r="N14" t="s">
        <v>24</v>
      </c>
      <c r="O14" t="s">
        <v>74</v>
      </c>
      <c r="P14" s="1">
        <v>46106</v>
      </c>
      <c r="Q14" t="s">
        <v>26</v>
      </c>
      <c r="R14" t="s">
        <v>138</v>
      </c>
      <c r="S14">
        <v>4</v>
      </c>
    </row>
    <row r="15" spans="1:19">
      <c r="A15" s="2" t="str">
        <f>IF(C15="","",VLOOKUP(C15,[1]ISO辞書!A:C,2,FALSE))</f>
        <v>KEN</v>
      </c>
      <c r="B15" s="3" t="str">
        <f>IF(C15="","",VLOOKUP(C15,[1]ISO辞書!A:C,3,FALSE))</f>
        <v>Kenya</v>
      </c>
      <c r="C15" t="s">
        <v>143</v>
      </c>
      <c r="D15" t="s">
        <v>144</v>
      </c>
      <c r="E15" t="s">
        <v>145</v>
      </c>
      <c r="F15" t="s">
        <v>24</v>
      </c>
      <c r="G15" t="s">
        <v>71</v>
      </c>
      <c r="J15" s="2" t="str">
        <f>IF(G15="","",VLOOKUP(G15,[1]ISO辞書!A:B,2,FALSE))</f>
        <v>CHN</v>
      </c>
      <c r="K15" s="2" t="str">
        <f>IF(H15="","",VLOOKUP(H15,[1]ISO辞書!A:B,2,FALSE))</f>
        <v/>
      </c>
      <c r="L15" s="2" t="str">
        <f>IF(I15="","",VLOOKUP(I15,[1]ISO辞書!A:B,2,FALSE))</f>
        <v/>
      </c>
      <c r="M15" s="3" t="str">
        <f>_xlfn.TEXTJOIN(";",TRUE,J15:L15)</f>
        <v>CHN</v>
      </c>
      <c r="N15" t="s">
        <v>24</v>
      </c>
      <c r="O15" t="s">
        <v>40</v>
      </c>
      <c r="P15" s="1">
        <v>46106</v>
      </c>
      <c r="Q15" t="s">
        <v>26</v>
      </c>
      <c r="R15" t="s">
        <v>146</v>
      </c>
      <c r="S15">
        <v>3</v>
      </c>
    </row>
    <row r="16" spans="1:19">
      <c r="A16" s="2" t="str">
        <f>IF(C16="","",VLOOKUP(C16,[1]ISO辞書!A:C,2,FALSE))</f>
        <v>USA</v>
      </c>
      <c r="B16" s="3" t="str">
        <f>IF(C16="","",VLOOKUP(C16,[1]ISO辞書!A:C,3,FALSE))</f>
        <v>America</v>
      </c>
      <c r="C16" t="s">
        <v>28</v>
      </c>
      <c r="D16" t="s">
        <v>55</v>
      </c>
      <c r="E16" t="s">
        <v>56</v>
      </c>
      <c r="F16" t="s">
        <v>24</v>
      </c>
      <c r="G16" t="s">
        <v>57</v>
      </c>
      <c r="J16" s="2" t="str">
        <f>IF(G16="","",VLOOKUP(G16,[1]ISO辞書!A:B,2,FALSE))</f>
        <v>VEN</v>
      </c>
      <c r="K16" s="2" t="str">
        <f>IF(H16="","",VLOOKUP(H16,[1]ISO辞書!A:B,2,FALSE))</f>
        <v/>
      </c>
      <c r="L16" s="2" t="str">
        <f>IF(I16="","",VLOOKUP(I16,[1]ISO辞書!A:B,2,FALSE))</f>
        <v/>
      </c>
      <c r="M16" s="3" t="str">
        <f>_xlfn.TEXTJOIN(";",TRUE,J16:L16)</f>
        <v>VEN</v>
      </c>
      <c r="N16" t="s">
        <v>24</v>
      </c>
      <c r="O16" t="s">
        <v>53</v>
      </c>
      <c r="P16" s="1">
        <v>46107</v>
      </c>
      <c r="Q16" t="s">
        <v>26</v>
      </c>
      <c r="R16" t="s">
        <v>58</v>
      </c>
      <c r="S16">
        <v>3</v>
      </c>
    </row>
    <row r="17" spans="1:19">
      <c r="A17" s="2" t="str">
        <f>IF(C17="","",VLOOKUP(C17,[1]ISO辞書!A:C,2,FALSE))</f>
        <v>PAK</v>
      </c>
      <c r="B17" s="3" t="str">
        <f>IF(C17="","",VLOOKUP(C17,[1]ISO辞書!A:C,3,FALSE))</f>
        <v>Pakistan</v>
      </c>
      <c r="C17" t="s">
        <v>91</v>
      </c>
      <c r="D17" t="s">
        <v>92</v>
      </c>
      <c r="E17" t="s">
        <v>93</v>
      </c>
      <c r="F17" t="s">
        <v>22</v>
      </c>
      <c r="G17" t="s">
        <v>94</v>
      </c>
      <c r="J17" s="2" t="str">
        <f>IF(G17="","",VLOOKUP(G17,[1]ISO辞書!A:B,2,FALSE))</f>
        <v>AFG</v>
      </c>
      <c r="K17" s="2" t="str">
        <f>IF(H17="","",VLOOKUP(H17,[1]ISO辞書!A:B,2,FALSE))</f>
        <v/>
      </c>
      <c r="L17" s="2" t="str">
        <f>IF(I17="","",VLOOKUP(I17,[1]ISO辞書!A:B,2,FALSE))</f>
        <v/>
      </c>
      <c r="M17" s="3" t="str">
        <f>_xlfn.TEXTJOIN(";",TRUE,J17:L17)</f>
        <v>AFG</v>
      </c>
      <c r="N17" t="s">
        <v>68</v>
      </c>
      <c r="O17" t="s">
        <v>69</v>
      </c>
      <c r="P17" s="1">
        <v>46107</v>
      </c>
      <c r="Q17" t="s">
        <v>26</v>
      </c>
      <c r="R17" t="s">
        <v>95</v>
      </c>
      <c r="S17">
        <v>5</v>
      </c>
    </row>
    <row r="18" spans="1:19">
      <c r="A18" s="2" t="str">
        <f>IF(C18="","",VLOOKUP(C18,[1]ISO辞書!A:C,2,FALSE))</f>
        <v>USA</v>
      </c>
      <c r="B18" s="3" t="str">
        <f>IF(C18="","",VLOOKUP(C18,[1]ISO辞書!A:C,3,FALSE))</f>
        <v>America</v>
      </c>
      <c r="C18" t="s">
        <v>28</v>
      </c>
      <c r="D18" t="s">
        <v>96</v>
      </c>
      <c r="E18" t="s">
        <v>97</v>
      </c>
      <c r="F18" t="s">
        <v>22</v>
      </c>
      <c r="G18" t="s">
        <v>66</v>
      </c>
      <c r="J18" s="2" t="str">
        <f>IF(G18="","",VLOOKUP(G18,[1]ISO辞書!A:B,2,FALSE))</f>
        <v>IRN</v>
      </c>
      <c r="K18" s="2" t="str">
        <f>IF(H18="","",VLOOKUP(H18,[1]ISO辞書!A:B,2,FALSE))</f>
        <v/>
      </c>
      <c r="L18" s="2" t="str">
        <f>IF(I18="","",VLOOKUP(I18,[1]ISO辞書!A:B,2,FALSE))</f>
        <v/>
      </c>
      <c r="M18" s="3" t="str">
        <f>_xlfn.TEXTJOIN(";",TRUE,J18:L18)</f>
        <v>IRN</v>
      </c>
      <c r="N18" t="s">
        <v>68</v>
      </c>
      <c r="O18" t="s">
        <v>69</v>
      </c>
      <c r="P18" s="1">
        <v>46107</v>
      </c>
      <c r="Q18" t="s">
        <v>26</v>
      </c>
      <c r="R18" t="s">
        <v>98</v>
      </c>
      <c r="S18">
        <v>5</v>
      </c>
    </row>
    <row r="19" spans="1:19">
      <c r="A19" s="2" t="str">
        <f>IF(C19="","",VLOOKUP(C19,[1]ISO辞書!A:C,2,FALSE))</f>
        <v>IRN</v>
      </c>
      <c r="B19" s="3" t="str">
        <f>IF(C19="","",VLOOKUP(C19,[1]ISO辞書!A:C,3,FALSE))</f>
        <v>Iran</v>
      </c>
      <c r="C19" t="s">
        <v>66</v>
      </c>
      <c r="D19" t="s">
        <v>99</v>
      </c>
      <c r="E19" t="s">
        <v>100</v>
      </c>
      <c r="F19" t="s">
        <v>22</v>
      </c>
      <c r="G19" t="s">
        <v>28</v>
      </c>
      <c r="H19" t="s">
        <v>91</v>
      </c>
      <c r="J19" s="2" t="str">
        <f>IF(G19="","",VLOOKUP(G19,[1]ISO辞書!A:B,2,FALSE))</f>
        <v>USA</v>
      </c>
      <c r="K19" s="2" t="str">
        <f>IF(H19="","",VLOOKUP(H19,[1]ISO辞書!A:B,2,FALSE))</f>
        <v>PAK</v>
      </c>
      <c r="L19" s="2" t="str">
        <f>IF(I19="","",VLOOKUP(I19,[1]ISO辞書!A:B,2,FALSE))</f>
        <v/>
      </c>
      <c r="M19" s="3" t="str">
        <f>_xlfn.TEXTJOIN(";",TRUE,J19:L19)</f>
        <v>USA;PAK</v>
      </c>
      <c r="N19" t="s">
        <v>68</v>
      </c>
      <c r="O19" t="s">
        <v>69</v>
      </c>
      <c r="P19" s="1">
        <v>46107</v>
      </c>
      <c r="Q19" t="s">
        <v>26</v>
      </c>
      <c r="R19" t="s">
        <v>101</v>
      </c>
      <c r="S19">
        <v>5</v>
      </c>
    </row>
    <row r="20" spans="1:19">
      <c r="A20" s="2" t="str">
        <f>IF(C20="","",VLOOKUP(C20,[1]ISO辞書!A:C,2,FALSE))</f>
        <v>UKR</v>
      </c>
      <c r="B20" s="3" t="str">
        <f>IF(C20="","",VLOOKUP(C20,[1]ISO辞書!A:C,3,FALSE))</f>
        <v>Ukraine</v>
      </c>
      <c r="C20" t="s">
        <v>109</v>
      </c>
      <c r="D20" t="s">
        <v>113</v>
      </c>
      <c r="E20" t="s">
        <v>114</v>
      </c>
      <c r="F20" t="s">
        <v>69</v>
      </c>
      <c r="G20" t="s">
        <v>115</v>
      </c>
      <c r="J20" s="2" t="str">
        <f>IF(G20="","",VLOOKUP(G20,[1]ISO辞書!A:B,2,FALSE))</f>
        <v>RUS</v>
      </c>
      <c r="K20" s="2" t="str">
        <f>IF(H20="","",VLOOKUP(H20,[1]ISO辞書!A:B,2,FALSE))</f>
        <v/>
      </c>
      <c r="L20" s="2" t="str">
        <f>IF(I20="","",VLOOKUP(I20,[1]ISO辞書!A:B,2,FALSE))</f>
        <v/>
      </c>
      <c r="M20" s="3" t="str">
        <f>_xlfn.TEXTJOIN(";",TRUE,J20:L20)</f>
        <v>RUS</v>
      </c>
      <c r="N20" t="s">
        <v>68</v>
      </c>
      <c r="O20" t="s">
        <v>69</v>
      </c>
      <c r="P20" s="1">
        <v>46107</v>
      </c>
      <c r="Q20" t="s">
        <v>26</v>
      </c>
      <c r="R20" t="s">
        <v>116</v>
      </c>
      <c r="S20">
        <v>5</v>
      </c>
    </row>
    <row r="21" spans="1:19">
      <c r="A21" s="2" t="str">
        <f>IF(C21="","",VLOOKUP(C21,[1]ISO辞書!A:C,2,FALSE))</f>
        <v>USA</v>
      </c>
      <c r="B21" s="3" t="str">
        <f>IF(C21="","",VLOOKUP(C21,[1]ISO辞書!A:C,3,FALSE))</f>
        <v>America</v>
      </c>
      <c r="C21" t="s">
        <v>28</v>
      </c>
      <c r="D21" t="s">
        <v>29</v>
      </c>
      <c r="E21" t="s">
        <v>30</v>
      </c>
      <c r="F21" t="s">
        <v>22</v>
      </c>
      <c r="G21" t="s">
        <v>31</v>
      </c>
      <c r="J21" s="2" t="str">
        <f>IF(G21="","",VLOOKUP(G21,[1]ISO辞書!A:B,2,FALSE))</f>
        <v>CUB</v>
      </c>
      <c r="K21" s="2" t="str">
        <f>IF(H21="","",VLOOKUP(H21,[1]ISO辞書!A:B,2,FALSE))</f>
        <v/>
      </c>
      <c r="L21" s="2" t="str">
        <f>IF(I21="","",VLOOKUP(I21,[1]ISO辞書!A:B,2,FALSE))</f>
        <v/>
      </c>
      <c r="M21" s="3" t="str">
        <f>_xlfn.TEXTJOIN(";",TRUE,J21:L21)</f>
        <v>CUB</v>
      </c>
      <c r="N21" t="s">
        <v>24</v>
      </c>
      <c r="O21" t="s">
        <v>25</v>
      </c>
      <c r="P21" s="1">
        <v>46108</v>
      </c>
      <c r="Q21" t="s">
        <v>26</v>
      </c>
      <c r="R21" t="s">
        <v>32</v>
      </c>
      <c r="S21">
        <v>4</v>
      </c>
    </row>
    <row r="22" spans="1:19">
      <c r="A22" s="2" t="str">
        <f>IF(C22="","",VLOOKUP(C22,[1]ISO辞書!A:C,2,FALSE))</f>
        <v>CAN</v>
      </c>
      <c r="B22" s="3" t="str">
        <f>IF(C22="","",VLOOKUP(C22,[1]ISO辞書!A:C,3,FALSE))</f>
        <v>Canada</v>
      </c>
      <c r="C22" t="s">
        <v>33</v>
      </c>
      <c r="D22" t="s">
        <v>34</v>
      </c>
      <c r="E22" t="s">
        <v>35</v>
      </c>
      <c r="F22" t="s">
        <v>36</v>
      </c>
      <c r="G22" t="s">
        <v>37</v>
      </c>
      <c r="H22" t="s">
        <v>38</v>
      </c>
      <c r="I22" t="s">
        <v>39</v>
      </c>
      <c r="J22" s="2" t="str">
        <f>IF(G22="","",VLOOKUP(G22,[1]ISO辞書!A:B,2,FALSE))</f>
        <v>BRA</v>
      </c>
      <c r="K22" s="2" t="str">
        <f>IF(H22="","",VLOOKUP(H22,[1]ISO辞書!A:B,2,FALSE))</f>
        <v>ARG</v>
      </c>
      <c r="L22" s="2" t="str">
        <f>IF(I22="","",VLOOKUP(I22,[1]ISO辞書!A:B,2,FALSE))</f>
        <v>PRY</v>
      </c>
      <c r="M22" s="3" t="str">
        <f>_xlfn.TEXTJOIN(";",TRUE,J22:L22)</f>
        <v>BRA;ARG;PRY</v>
      </c>
      <c r="N22" t="s">
        <v>40</v>
      </c>
      <c r="O22" t="s">
        <v>40</v>
      </c>
      <c r="P22" s="1">
        <v>46108</v>
      </c>
      <c r="Q22" t="s">
        <v>26</v>
      </c>
      <c r="R22" t="s">
        <v>41</v>
      </c>
      <c r="S22">
        <v>4</v>
      </c>
    </row>
    <row r="23" spans="1:19">
      <c r="A23" s="2" t="str">
        <f>IF(C23="","",VLOOKUP(C23,[1]ISO辞書!A:C,2,FALSE))</f>
        <v>EU</v>
      </c>
      <c r="B23" s="3" t="str">
        <f>IF(C23="","",VLOOKUP(C23,[1]ISO辞書!A:C,3,FALSE))</f>
        <v>EU</v>
      </c>
      <c r="C23" t="s">
        <v>42</v>
      </c>
      <c r="D23" t="s">
        <v>43</v>
      </c>
      <c r="E23" t="s">
        <v>44</v>
      </c>
      <c r="F23" t="s">
        <v>36</v>
      </c>
      <c r="G23" t="s">
        <v>45</v>
      </c>
      <c r="J23" s="2" t="str">
        <f>IF(G23="","",VLOOKUP(G23,[1]ISO辞書!A:B,2,FALSE))</f>
        <v>CPTPP</v>
      </c>
      <c r="K23" s="2" t="str">
        <f>IF(H23="","",VLOOKUP(H23,[1]ISO辞書!A:B,2,FALSE))</f>
        <v/>
      </c>
      <c r="L23" s="2" t="str">
        <f>IF(I23="","",VLOOKUP(I23,[1]ISO辞書!A:B,2,FALSE))</f>
        <v/>
      </c>
      <c r="M23" s="3" t="str">
        <f>_xlfn.TEXTJOIN(";",TRUE,J23:L23)</f>
        <v>CPTPP</v>
      </c>
      <c r="N23" t="s">
        <v>40</v>
      </c>
      <c r="O23" t="s">
        <v>40</v>
      </c>
      <c r="P23" s="1">
        <v>46108</v>
      </c>
      <c r="Q23" t="s">
        <v>26</v>
      </c>
      <c r="R23" t="s">
        <v>46</v>
      </c>
      <c r="S23">
        <v>5</v>
      </c>
    </row>
    <row r="24" spans="1:19">
      <c r="A24" s="2" t="str">
        <f>IF(C24="","",VLOOKUP(C24,[1]ISO辞書!A:C,2,FALSE))</f>
        <v>CAN</v>
      </c>
      <c r="B24" s="3" t="str">
        <f>IF(C24="","",VLOOKUP(C24,[1]ISO辞書!A:C,3,FALSE))</f>
        <v>Canada</v>
      </c>
      <c r="C24" t="s">
        <v>33</v>
      </c>
      <c r="D24" t="s">
        <v>47</v>
      </c>
      <c r="E24" t="s">
        <v>48</v>
      </c>
      <c r="F24" t="s">
        <v>36</v>
      </c>
      <c r="G24" t="s">
        <v>37</v>
      </c>
      <c r="H24" t="s">
        <v>38</v>
      </c>
      <c r="I24" t="s">
        <v>39</v>
      </c>
      <c r="J24" s="2" t="str">
        <f>IF(G24="","",VLOOKUP(G24,[1]ISO辞書!A:B,2,FALSE))</f>
        <v>BRA</v>
      </c>
      <c r="K24" s="2" t="str">
        <f>IF(H24="","",VLOOKUP(H24,[1]ISO辞書!A:B,2,FALSE))</f>
        <v>ARG</v>
      </c>
      <c r="L24" s="2" t="str">
        <f>IF(I24="","",VLOOKUP(I24,[1]ISO辞書!A:B,2,FALSE))</f>
        <v>PRY</v>
      </c>
      <c r="M24" s="3" t="str">
        <f>_xlfn.TEXTJOIN(";",TRUE,J24:L24)</f>
        <v>BRA;ARG;PRY</v>
      </c>
      <c r="N24" t="s">
        <v>40</v>
      </c>
      <c r="O24" t="s">
        <v>40</v>
      </c>
      <c r="P24" s="1">
        <v>46108</v>
      </c>
      <c r="Q24" t="s">
        <v>26</v>
      </c>
      <c r="R24" t="s">
        <v>49</v>
      </c>
      <c r="S24">
        <v>4</v>
      </c>
    </row>
    <row r="25" spans="1:19">
      <c r="A25" s="2" t="str">
        <f>IF(C25="","",VLOOKUP(C25,[1]ISO辞書!A:C,2,FALSE))</f>
        <v>NPL</v>
      </c>
      <c r="B25" s="3" t="str">
        <f>IF(C25="","",VLOOKUP(C25,[1]ISO辞書!A:C,3,FALSE))</f>
        <v>Nepal</v>
      </c>
      <c r="C25" t="s">
        <v>76</v>
      </c>
      <c r="D25" t="s">
        <v>77</v>
      </c>
      <c r="E25" t="s">
        <v>78</v>
      </c>
      <c r="F25" t="s">
        <v>79</v>
      </c>
      <c r="J25" s="2" t="str">
        <f>IF(G25="","",VLOOKUP(G25,[1]ISO辞書!A:B,2,FALSE))</f>
        <v/>
      </c>
      <c r="K25" s="2" t="str">
        <f>IF(H25="","",VLOOKUP(H25,[1]ISO辞書!A:B,2,FALSE))</f>
        <v/>
      </c>
      <c r="L25" s="2" t="str">
        <f>IF(I25="","",VLOOKUP(I25,[1]ISO辞書!A:B,2,FALSE))</f>
        <v/>
      </c>
      <c r="M25" s="3" t="str">
        <f>_xlfn.TEXTJOIN(";",TRUE,J25:L25)</f>
        <v/>
      </c>
      <c r="N25" t="s">
        <v>80</v>
      </c>
      <c r="O25" t="s">
        <v>80</v>
      </c>
      <c r="P25" s="1">
        <v>46108</v>
      </c>
      <c r="Q25" t="s">
        <v>26</v>
      </c>
      <c r="R25" t="s">
        <v>81</v>
      </c>
      <c r="S25">
        <v>2</v>
      </c>
    </row>
    <row r="26" spans="1:19">
      <c r="A26" s="2" t="str">
        <f>IF(C26="","",VLOOKUP(C26,[1]ISO辞書!A:C,2,FALSE))</f>
        <v>PRK</v>
      </c>
      <c r="B26" s="3" t="str">
        <f>IF(C26="","",VLOOKUP(C26,[1]ISO辞書!A:C,3,FALSE))</f>
        <v>North Korea</v>
      </c>
      <c r="C26" t="s">
        <v>86</v>
      </c>
      <c r="D26" t="s">
        <v>87</v>
      </c>
      <c r="E26" t="s">
        <v>88</v>
      </c>
      <c r="F26" t="s">
        <v>24</v>
      </c>
      <c r="G26" t="s">
        <v>89</v>
      </c>
      <c r="J26" s="2" t="str">
        <f>IF(G26="","",VLOOKUP(G26,[1]ISO辞書!A:B,2,FALSE))</f>
        <v>BLR</v>
      </c>
      <c r="K26" s="2" t="str">
        <f>IF(H26="","",VLOOKUP(H26,[1]ISO辞書!A:B,2,FALSE))</f>
        <v/>
      </c>
      <c r="L26" s="2" t="str">
        <f>IF(I26="","",VLOOKUP(I26,[1]ISO辞書!A:B,2,FALSE))</f>
        <v/>
      </c>
      <c r="M26" s="3" t="str">
        <f>_xlfn.TEXTJOIN(";",TRUE,J26:L26)</f>
        <v>BLR</v>
      </c>
      <c r="N26" t="s">
        <v>24</v>
      </c>
      <c r="O26" t="s">
        <v>53</v>
      </c>
      <c r="P26" s="1">
        <v>46108</v>
      </c>
      <c r="Q26" t="s">
        <v>26</v>
      </c>
      <c r="R26" t="s">
        <v>90</v>
      </c>
      <c r="S26">
        <v>5</v>
      </c>
    </row>
    <row r="27" spans="1:19">
      <c r="A27" s="2" t="str">
        <f>IF(C27="","",VLOOKUP(C27,[1]ISO辞書!A:C,2,FALSE))</f>
        <v>UKR</v>
      </c>
      <c r="B27" s="3" t="str">
        <f>IF(C27="","",VLOOKUP(C27,[1]ISO辞書!A:C,3,FALSE))</f>
        <v>Ukraine</v>
      </c>
      <c r="C27" t="s">
        <v>109</v>
      </c>
      <c r="D27" t="s">
        <v>110</v>
      </c>
      <c r="E27" t="s">
        <v>152</v>
      </c>
      <c r="F27" t="s">
        <v>24</v>
      </c>
      <c r="G27" t="s">
        <v>111</v>
      </c>
      <c r="J27" s="2" t="str">
        <f>IF(G27="","",VLOOKUP(G27,[1]ISO辞書!A:B,2,FALSE))</f>
        <v>SAU</v>
      </c>
      <c r="K27" s="2" t="str">
        <f>IF(H27="","",VLOOKUP(H27,[1]ISO辞書!A:B,2,FALSE))</f>
        <v/>
      </c>
      <c r="L27" s="2" t="str">
        <f>IF(I27="","",VLOOKUP(I27,[1]ISO辞書!A:B,2,FALSE))</f>
        <v/>
      </c>
      <c r="M27" s="3" t="str">
        <f>_xlfn.TEXTJOIN(";",TRUE,J27:L27)</f>
        <v>SAU</v>
      </c>
      <c r="N27" t="s">
        <v>24</v>
      </c>
      <c r="O27" t="s">
        <v>74</v>
      </c>
      <c r="P27" s="1">
        <v>46108</v>
      </c>
      <c r="Q27" t="s">
        <v>26</v>
      </c>
      <c r="R27" t="s">
        <v>112</v>
      </c>
      <c r="S27">
        <v>5</v>
      </c>
    </row>
    <row r="28" spans="1:19">
      <c r="A28" s="2" t="str">
        <f>IF(C28="","",VLOOKUP(C28,[1]ISO辞書!A:C,2,FALSE))</f>
        <v>COD</v>
      </c>
      <c r="B28" s="3" t="str">
        <f>IF(C28="","",VLOOKUP(C28,[1]ISO辞書!A:C,3,FALSE))</f>
        <v>Democratic Republic of the Congo</v>
      </c>
      <c r="C28" t="s">
        <v>139</v>
      </c>
      <c r="D28" t="s">
        <v>140</v>
      </c>
      <c r="E28" t="s">
        <v>141</v>
      </c>
      <c r="F28" t="s">
        <v>24</v>
      </c>
      <c r="G28" t="s">
        <v>71</v>
      </c>
      <c r="J28" s="2" t="str">
        <f>IF(G28="","",VLOOKUP(G28,[1]ISO辞書!A:B,2,FALSE))</f>
        <v>CHN</v>
      </c>
      <c r="K28" s="2" t="str">
        <f>IF(H28="","",VLOOKUP(H28,[1]ISO辞書!A:B,2,FALSE))</f>
        <v/>
      </c>
      <c r="L28" s="2" t="str">
        <f>IF(I28="","",VLOOKUP(I28,[1]ISO辞書!A:B,2,FALSE))</f>
        <v/>
      </c>
      <c r="M28" s="3" t="str">
        <f>_xlfn.TEXTJOIN(";",TRUE,J28:L28)</f>
        <v>CHN</v>
      </c>
      <c r="N28" t="s">
        <v>24</v>
      </c>
      <c r="O28" t="s">
        <v>40</v>
      </c>
      <c r="P28" s="1">
        <v>46108</v>
      </c>
      <c r="Q28" t="s">
        <v>26</v>
      </c>
      <c r="R28" t="s">
        <v>142</v>
      </c>
      <c r="S28">
        <v>4</v>
      </c>
    </row>
    <row r="29" spans="1:19">
      <c r="A29" s="2" t="str">
        <f>IF(C29="","",VLOOKUP(C29,[1]ISO辞書!A:C,2,FALSE))</f>
        <v>CHN</v>
      </c>
      <c r="B29" s="3" t="str">
        <f>IF(C29="","",VLOOKUP(C29,[1]ISO辞書!A:C,3,FALSE))</f>
        <v>China</v>
      </c>
      <c r="C29" t="s">
        <v>71</v>
      </c>
      <c r="D29" t="s">
        <v>72</v>
      </c>
      <c r="E29" t="s">
        <v>151</v>
      </c>
      <c r="F29" t="s">
        <v>24</v>
      </c>
      <c r="G29" t="s">
        <v>73</v>
      </c>
      <c r="J29" s="2" t="str">
        <f>IF(G29="","",VLOOKUP(G29,[1]ISO辞書!A:B,2,FALSE))</f>
        <v>PHL</v>
      </c>
      <c r="K29" s="2" t="str">
        <f>IF(H29="","",VLOOKUP(H29,[1]ISO辞書!A:B,2,FALSE))</f>
        <v/>
      </c>
      <c r="L29" s="2" t="str">
        <f>IF(I29="","",VLOOKUP(I29,[1]ISO辞書!A:B,2,FALSE))</f>
        <v/>
      </c>
      <c r="M29" s="3" t="str">
        <f>_xlfn.TEXTJOIN(";",TRUE,J29:L29)</f>
        <v>PHL</v>
      </c>
      <c r="N29" t="s">
        <v>24</v>
      </c>
      <c r="O29" t="s">
        <v>74</v>
      </c>
      <c r="P29" s="1">
        <v>46109</v>
      </c>
      <c r="Q29" t="s">
        <v>26</v>
      </c>
      <c r="R29" t="s">
        <v>75</v>
      </c>
      <c r="S29">
        <v>4</v>
      </c>
    </row>
    <row r="30" spans="1:19">
      <c r="A30" s="2" t="str">
        <f>IF(C30="","",VLOOKUP(C30,[1]ISO辞書!A:C,2,FALSE))</f>
        <v>IDN</v>
      </c>
      <c r="B30" s="3" t="str">
        <f>IF(C30="","",VLOOKUP(C30,[1]ISO辞書!A:C,3,FALSE))</f>
        <v>Indonesia</v>
      </c>
      <c r="C30" t="s">
        <v>82</v>
      </c>
      <c r="D30" t="s">
        <v>83</v>
      </c>
      <c r="E30" t="s">
        <v>84</v>
      </c>
      <c r="F30" t="s">
        <v>79</v>
      </c>
      <c r="J30" s="2" t="str">
        <f>IF(G30="","",VLOOKUP(G30,[1]ISO辞書!A:B,2,FALSE))</f>
        <v/>
      </c>
      <c r="K30" s="2" t="str">
        <f>IF(H30="","",VLOOKUP(H30,[1]ISO辞書!A:B,2,FALSE))</f>
        <v/>
      </c>
      <c r="L30" s="2" t="str">
        <f>IF(I30="","",VLOOKUP(I30,[1]ISO辞書!A:B,2,FALSE))</f>
        <v/>
      </c>
      <c r="M30" s="3" t="str">
        <f>_xlfn.TEXTJOIN(";",TRUE,J30:L30)</f>
        <v/>
      </c>
      <c r="N30" t="s">
        <v>80</v>
      </c>
      <c r="O30" t="s">
        <v>80</v>
      </c>
      <c r="P30" s="1">
        <v>46109</v>
      </c>
      <c r="Q30" t="s">
        <v>26</v>
      </c>
      <c r="R30" t="s">
        <v>85</v>
      </c>
      <c r="S30">
        <v>3</v>
      </c>
    </row>
    <row r="31" spans="1:19">
      <c r="A31" s="2" t="str">
        <f>IF(C31="","",VLOOKUP(C31,[1]ISO辞書!A:C,2,FALSE))</f>
        <v>UKR</v>
      </c>
      <c r="B31" s="3" t="str">
        <f>IF(C31="","",VLOOKUP(C31,[1]ISO辞書!A:C,3,FALSE))</f>
        <v>Ukraine</v>
      </c>
      <c r="C31" t="s">
        <v>109</v>
      </c>
      <c r="D31" t="s">
        <v>126</v>
      </c>
      <c r="E31" t="s">
        <v>127</v>
      </c>
      <c r="F31" t="s">
        <v>24</v>
      </c>
      <c r="G31" t="s">
        <v>128</v>
      </c>
      <c r="H31" t="s">
        <v>129</v>
      </c>
      <c r="J31" s="2" t="str">
        <f>IF(G31="","",VLOOKUP(G31,[1]ISO辞書!A:B,2,FALSE))</f>
        <v>ARE</v>
      </c>
      <c r="K31" s="2" t="str">
        <f>IF(H31="","",VLOOKUP(H31,[1]ISO辞書!A:B,2,FALSE))</f>
        <v>QAT</v>
      </c>
      <c r="L31" s="2" t="str">
        <f>IF(I31="","",VLOOKUP(I31,[1]ISO辞書!A:B,2,FALSE))</f>
        <v/>
      </c>
      <c r="M31" s="3" t="str">
        <f>_xlfn.TEXTJOIN(";",TRUE,J31:L31)</f>
        <v>ARE;QAT</v>
      </c>
      <c r="N31" t="s">
        <v>24</v>
      </c>
      <c r="O31" t="s">
        <v>74</v>
      </c>
      <c r="P31" s="1">
        <v>46109</v>
      </c>
      <c r="Q31" t="s">
        <v>26</v>
      </c>
      <c r="R31" t="s">
        <v>130</v>
      </c>
      <c r="S31">
        <v>5</v>
      </c>
    </row>
    <row r="32" spans="1:19">
      <c r="A32" s="2" t="str">
        <f>IF(C32="","",VLOOKUP(C32,[1]ISO辞書!A:C,2,FALSE))</f>
        <v>NPL</v>
      </c>
      <c r="B32" s="3" t="str">
        <f>IF(C32="","",VLOOKUP(C32,[1]ISO辞書!A:C,3,FALSE))</f>
        <v>Nepal</v>
      </c>
      <c r="C32" t="s">
        <v>217</v>
      </c>
      <c r="D32" t="s">
        <v>218</v>
      </c>
      <c r="E32" t="s">
        <v>219</v>
      </c>
      <c r="F32" t="s">
        <v>170</v>
      </c>
      <c r="J32" s="2" t="str">
        <f>IF(G32="","",VLOOKUP(G32,[1]ISO辞書!A:B,2,FALSE))</f>
        <v/>
      </c>
      <c r="K32" s="2" t="str">
        <f>IF(H32="","",VLOOKUP(H32,[1]ISO辞書!A:B,2,FALSE))</f>
        <v/>
      </c>
      <c r="L32" s="2" t="str">
        <f>IF(I32="","",VLOOKUP(I32,[1]ISO辞書!A:B,2,FALSE))</f>
        <v/>
      </c>
      <c r="M32" s="3" t="str">
        <f>_xlfn.TEXTJOIN(";",TRUE,J32:L32)</f>
        <v/>
      </c>
      <c r="N32" t="s">
        <v>165</v>
      </c>
      <c r="O32" t="s">
        <v>79</v>
      </c>
      <c r="P32" s="1">
        <v>46109</v>
      </c>
      <c r="Q32" t="s">
        <v>159</v>
      </c>
      <c r="R32" t="s">
        <v>220</v>
      </c>
      <c r="S32">
        <v>2</v>
      </c>
    </row>
    <row r="33" spans="1:19">
      <c r="A33" s="2" t="str">
        <f>IF(C33="","",VLOOKUP(C33,[1]ISO辞書!A:C,2,FALSE))</f>
        <v>YEM</v>
      </c>
      <c r="B33" s="3" t="str">
        <f>IF(C33="","",VLOOKUP(C33,[1]ISO辞書!A:C,3,FALSE))</f>
        <v>Yemen</v>
      </c>
      <c r="C33" t="s">
        <v>63</v>
      </c>
      <c r="D33" t="s">
        <v>64</v>
      </c>
      <c r="E33" t="s">
        <v>65</v>
      </c>
      <c r="F33" t="s">
        <v>22</v>
      </c>
      <c r="G33" t="s">
        <v>66</v>
      </c>
      <c r="H33" t="s">
        <v>28</v>
      </c>
      <c r="I33" t="s">
        <v>67</v>
      </c>
      <c r="J33" s="2" t="str">
        <f>IF(G33="","",VLOOKUP(G33,[1]ISO辞書!A:B,2,FALSE))</f>
        <v>IRN</v>
      </c>
      <c r="K33" s="2" t="str">
        <f>IF(H33="","",VLOOKUP(H33,[1]ISO辞書!A:B,2,FALSE))</f>
        <v>USA</v>
      </c>
      <c r="L33" s="2" t="str">
        <f>IF(I33="","",VLOOKUP(I33,[1]ISO辞書!A:B,2,FALSE))</f>
        <v>ISR</v>
      </c>
      <c r="M33" s="3" t="str">
        <f>_xlfn.TEXTJOIN(";",TRUE,J33:L33)</f>
        <v>IRN;USA;ISR</v>
      </c>
      <c r="N33" t="s">
        <v>68</v>
      </c>
      <c r="O33" t="s">
        <v>69</v>
      </c>
      <c r="P33" s="1">
        <v>46110</v>
      </c>
      <c r="Q33" t="s">
        <v>26</v>
      </c>
      <c r="R33" t="s">
        <v>70</v>
      </c>
      <c r="S33">
        <v>5</v>
      </c>
    </row>
    <row r="34" spans="1:19">
      <c r="A34" s="2" t="str">
        <f>IF(C34="","",VLOOKUP(C34,[1]ISO辞書!A:C,2,FALSE))</f>
        <v>UKR</v>
      </c>
      <c r="B34" s="3" t="str">
        <f>IF(C34="","",VLOOKUP(C34,[1]ISO辞書!A:C,3,FALSE))</f>
        <v>Ukraine</v>
      </c>
      <c r="C34" t="s">
        <v>202</v>
      </c>
      <c r="D34" t="s">
        <v>203</v>
      </c>
      <c r="E34" t="s">
        <v>204</v>
      </c>
      <c r="F34" t="s">
        <v>196</v>
      </c>
      <c r="G34" t="s">
        <v>205</v>
      </c>
      <c r="J34" s="2" t="str">
        <f>IF(G34="","",VLOOKUP(G34,[1]ISO辞書!A:B,2,FALSE))</f>
        <v>JOR</v>
      </c>
      <c r="K34" s="2" t="str">
        <f>IF(H34="","",VLOOKUP(H34,[1]ISO辞書!A:B,2,FALSE))</f>
        <v/>
      </c>
      <c r="L34" s="2" t="str">
        <f>IF(I34="","",VLOOKUP(I34,[1]ISO辞書!A:B,2,FALSE))</f>
        <v/>
      </c>
      <c r="M34" s="3" t="str">
        <f>_xlfn.TEXTJOIN(";",TRUE,J34:L34)</f>
        <v>JOR</v>
      </c>
      <c r="N34" t="s">
        <v>178</v>
      </c>
      <c r="O34" t="s">
        <v>53</v>
      </c>
      <c r="P34" s="1">
        <v>46110</v>
      </c>
      <c r="Q34" t="s">
        <v>159</v>
      </c>
      <c r="R34" t="s">
        <v>206</v>
      </c>
      <c r="S34">
        <v>2</v>
      </c>
    </row>
    <row r="35" spans="1:19">
      <c r="A35" s="2" t="str">
        <f>IF(C35="","",VLOOKUP(C35,[1]ISO辞書!A:C,2,FALSE))</f>
        <v>CUB</v>
      </c>
      <c r="B35" s="3" t="str">
        <f>IF(C35="","",VLOOKUP(C35,[1]ISO辞書!A:C,3,FALSE))</f>
        <v>Cuba</v>
      </c>
      <c r="C35" t="s">
        <v>172</v>
      </c>
      <c r="D35" t="s">
        <v>173</v>
      </c>
      <c r="E35" t="s">
        <v>174</v>
      </c>
      <c r="F35" t="s">
        <v>175</v>
      </c>
      <c r="G35" t="s">
        <v>176</v>
      </c>
      <c r="H35" t="s">
        <v>177</v>
      </c>
      <c r="J35" s="2" t="str">
        <f>IF(G35="","",VLOOKUP(G35,[1]ISO辞書!A:B,2,FALSE))</f>
        <v>RUS</v>
      </c>
      <c r="K35" s="2" t="str">
        <f>IF(H35="","",VLOOKUP(H35,[1]ISO辞書!A:B,2,FALSE))</f>
        <v>USA</v>
      </c>
      <c r="L35" s="2" t="str">
        <f>IF(I35="","",VLOOKUP(I35,[1]ISO辞書!A:B,2,FALSE))</f>
        <v/>
      </c>
      <c r="M35" s="3" t="str">
        <f>_xlfn.TEXTJOIN(";",TRUE,J35:L35)</f>
        <v>RUS;USA</v>
      </c>
      <c r="N35" t="s">
        <v>178</v>
      </c>
      <c r="O35" t="s">
        <v>179</v>
      </c>
      <c r="P35" s="1">
        <v>46111</v>
      </c>
      <c r="Q35" t="s">
        <v>180</v>
      </c>
      <c r="R35" s="5" t="s">
        <v>181</v>
      </c>
      <c r="S35">
        <v>3</v>
      </c>
    </row>
    <row r="36" spans="1:19">
      <c r="A36" s="2" t="str">
        <f>IF(C36="","",VLOOKUP(C36,[1]ISO辞書!A:C,2,FALSE))</f>
        <v>LBN</v>
      </c>
      <c r="B36" s="3" t="str">
        <f>IF(C36="","",VLOOKUP(C36,[1]ISO辞書!A:C,3,FALSE))</f>
        <v>Lebanon</v>
      </c>
      <c r="C36" t="s">
        <v>157</v>
      </c>
      <c r="D36" t="s">
        <v>190</v>
      </c>
      <c r="E36" t="s">
        <v>191</v>
      </c>
      <c r="F36" t="s">
        <v>156</v>
      </c>
      <c r="G36" t="s">
        <v>153</v>
      </c>
      <c r="J36" s="2" t="str">
        <f>IF(G36="","",VLOOKUP(G36,[1]ISO辞書!A:B,2,FALSE))</f>
        <v>ISR</v>
      </c>
      <c r="K36" s="2" t="str">
        <f>IF(H36="","",VLOOKUP(H36,[1]ISO辞書!A:B,2,FALSE))</f>
        <v/>
      </c>
      <c r="L36" s="2" t="str">
        <f>IF(I36="","",VLOOKUP(I36,[1]ISO辞書!A:B,2,FALSE))</f>
        <v/>
      </c>
      <c r="M36" s="3" t="str">
        <f>_xlfn.TEXTJOIN(";",TRUE,J36:L36)</f>
        <v>ISR</v>
      </c>
      <c r="N36" t="s">
        <v>158</v>
      </c>
      <c r="O36" t="s">
        <v>69</v>
      </c>
      <c r="P36" s="1">
        <v>46111</v>
      </c>
      <c r="Q36" t="s">
        <v>159</v>
      </c>
      <c r="R36" t="s">
        <v>192</v>
      </c>
      <c r="S36">
        <v>2</v>
      </c>
    </row>
    <row r="37" spans="1:19">
      <c r="A37" s="2" t="str">
        <f>IF(C37="","",VLOOKUP(C37,[1]ISO辞書!A:C,2,FALSE))</f>
        <v>RUS</v>
      </c>
      <c r="B37" s="3" t="str">
        <f>IF(C37="","",VLOOKUP(C37,[1]ISO辞書!A:C,3,FALSE))</f>
        <v>Russian Federation</v>
      </c>
      <c r="C37" t="s">
        <v>176</v>
      </c>
      <c r="D37" t="s">
        <v>207</v>
      </c>
      <c r="E37" t="s">
        <v>208</v>
      </c>
      <c r="F37" t="s">
        <v>196</v>
      </c>
      <c r="G37" t="s">
        <v>193</v>
      </c>
      <c r="J37" s="2" t="str">
        <f>IF(G37="","",VLOOKUP(G37,[1]ISO辞書!A:B,2,FALSE))</f>
        <v>GBR</v>
      </c>
      <c r="K37" s="2" t="str">
        <f>IF(H37="","",VLOOKUP(H37,[1]ISO辞書!A:B,2,FALSE))</f>
        <v/>
      </c>
      <c r="L37" s="2" t="str">
        <f>IF(I37="","",VLOOKUP(I37,[1]ISO辞書!A:B,2,FALSE))</f>
        <v/>
      </c>
      <c r="M37" s="3" t="str">
        <f>_xlfn.TEXTJOIN(";",TRUE,J37:L37)</f>
        <v>GBR</v>
      </c>
      <c r="N37" t="s">
        <v>178</v>
      </c>
      <c r="O37" t="s">
        <v>53</v>
      </c>
      <c r="P37" s="1">
        <v>46111</v>
      </c>
      <c r="Q37" t="s">
        <v>159</v>
      </c>
      <c r="R37" t="s">
        <v>209</v>
      </c>
      <c r="S37">
        <v>2</v>
      </c>
    </row>
    <row r="38" spans="1:19">
      <c r="A38" s="2" t="str">
        <f>IF(C38="","",VLOOKUP(C38,[1]ISO辞書!A:C,2,FALSE))</f>
        <v>AFG</v>
      </c>
      <c r="B38" s="3" t="str">
        <f>IF(C38="","",VLOOKUP(C38,[1]ISO辞書!A:C,3,FALSE))</f>
        <v>Afghanistan</v>
      </c>
      <c r="C38" t="s">
        <v>221</v>
      </c>
      <c r="D38" t="s">
        <v>222</v>
      </c>
      <c r="E38" t="s">
        <v>223</v>
      </c>
      <c r="F38" t="s">
        <v>224</v>
      </c>
      <c r="G38" t="s">
        <v>225</v>
      </c>
      <c r="J38" s="2" t="str">
        <f>IF(G38="","",VLOOKUP(G38,[1]ISO辞書!A:B,2,FALSE))</f>
        <v>PAK</v>
      </c>
      <c r="K38" s="2" t="str">
        <f>IF(H38="","",VLOOKUP(H38,[1]ISO辞書!A:B,2,FALSE))</f>
        <v/>
      </c>
      <c r="L38" s="2" t="str">
        <f>IF(I38="","",VLOOKUP(I38,[1]ISO辞書!A:B,2,FALSE))</f>
        <v/>
      </c>
      <c r="M38" s="3" t="str">
        <f>_xlfn.TEXTJOIN(";",TRUE,J38:L38)</f>
        <v>PAK</v>
      </c>
      <c r="N38" t="s">
        <v>226</v>
      </c>
      <c r="O38" t="s">
        <v>227</v>
      </c>
      <c r="P38" s="1">
        <v>46111</v>
      </c>
      <c r="Q38" t="s">
        <v>159</v>
      </c>
      <c r="R38" t="s">
        <v>228</v>
      </c>
      <c r="S38">
        <v>1</v>
      </c>
    </row>
    <row r="39" spans="1:19">
      <c r="A39" s="2" t="str">
        <f>IF(C39="","",VLOOKUP(C39,[1]ISO辞書!A:C,2,FALSE))</f>
        <v>XKK</v>
      </c>
      <c r="B39" s="3" t="str">
        <f>IF(C39="","",VLOOKUP(C39,[1]ISO辞書!A:C,3,FALSE))</f>
        <v>Kosovo</v>
      </c>
      <c r="C39" t="s">
        <v>229</v>
      </c>
      <c r="D39" t="s">
        <v>230</v>
      </c>
      <c r="E39" t="s">
        <v>231</v>
      </c>
      <c r="F39" t="s">
        <v>156</v>
      </c>
      <c r="G39" t="s">
        <v>177</v>
      </c>
      <c r="H39" t="s">
        <v>153</v>
      </c>
      <c r="I39" t="s">
        <v>232</v>
      </c>
      <c r="J39" s="2" t="str">
        <f>IF(G39="","",VLOOKUP(G39,[1]ISO辞書!A:B,2,FALSE))</f>
        <v>USA</v>
      </c>
      <c r="K39" s="2" t="str">
        <f>IF(H39="","",VLOOKUP(H39,[1]ISO辞書!A:B,2,FALSE))</f>
        <v>ISR</v>
      </c>
      <c r="L39" s="2" t="str">
        <f>IF(I39="","",VLOOKUP(I39,[1]ISO辞書!A:B,2,FALSE))</f>
        <v>PSE</v>
      </c>
      <c r="M39" s="3" t="str">
        <f>_xlfn.TEXTJOIN(";",TRUE,J39:L39)</f>
        <v>USA;ISR;PSE</v>
      </c>
      <c r="N39" t="s">
        <v>178</v>
      </c>
      <c r="O39" t="s">
        <v>69</v>
      </c>
      <c r="P39" s="1">
        <v>46111</v>
      </c>
      <c r="Q39" t="s">
        <v>159</v>
      </c>
      <c r="R39" t="s">
        <v>233</v>
      </c>
      <c r="S39">
        <v>2</v>
      </c>
    </row>
    <row r="40" spans="1:19">
      <c r="A40" s="2" t="str">
        <f>IF(C40="","",VLOOKUP(C40,[1]ISO辞書!A:C,2,FALSE))</f>
        <v>PAK</v>
      </c>
      <c r="B40" s="3" t="str">
        <f>IF(C40="","",VLOOKUP(C40,[1]ISO辞書!A:C,3,FALSE))</f>
        <v>Pakistan</v>
      </c>
      <c r="C40" t="s">
        <v>225</v>
      </c>
      <c r="D40" t="s">
        <v>234</v>
      </c>
      <c r="E40" t="s">
        <v>235</v>
      </c>
      <c r="F40" t="s">
        <v>156</v>
      </c>
      <c r="G40" t="s">
        <v>221</v>
      </c>
      <c r="J40" s="2" t="str">
        <f>IF(G40="","",VLOOKUP(G40,[1]ISO辞書!A:B,2,FALSE))</f>
        <v>AFG</v>
      </c>
      <c r="K40" s="2" t="str">
        <f>IF(H40="","",VLOOKUP(H40,[1]ISO辞書!A:B,2,FALSE))</f>
        <v/>
      </c>
      <c r="L40" s="2" t="str">
        <f>IF(I40="","",VLOOKUP(I40,[1]ISO辞書!A:B,2,FALSE))</f>
        <v/>
      </c>
      <c r="M40" s="3" t="str">
        <f>_xlfn.TEXTJOIN(";",TRUE,J40:L40)</f>
        <v>AFG</v>
      </c>
      <c r="N40" t="s">
        <v>158</v>
      </c>
      <c r="O40" t="s">
        <v>69</v>
      </c>
      <c r="P40" s="1">
        <v>46111</v>
      </c>
      <c r="Q40" t="s">
        <v>159</v>
      </c>
      <c r="R40" t="s">
        <v>236</v>
      </c>
      <c r="S40">
        <v>4</v>
      </c>
    </row>
    <row r="41" spans="1:19">
      <c r="A41" s="2" t="str">
        <f>IF(C41="","",VLOOKUP(C41,[1]ISO辞書!A:C,2,FALSE))</f>
        <v>PRY</v>
      </c>
      <c r="B41" s="3" t="str">
        <f>IF(C41="","",VLOOKUP(C41,[1]ISO辞書!A:C,3,FALSE))</f>
        <v>Paraguay</v>
      </c>
      <c r="C41" t="s">
        <v>182</v>
      </c>
      <c r="D41" t="s">
        <v>183</v>
      </c>
      <c r="E41" t="s">
        <v>184</v>
      </c>
      <c r="F41" t="s">
        <v>170</v>
      </c>
      <c r="J41" s="2" t="str">
        <f>IF(G41="","",VLOOKUP(G41,[1]ISO辞書!A:B,2,FALSE))</f>
        <v/>
      </c>
      <c r="K41" s="2" t="str">
        <f>IF(H41="","",VLOOKUP(H41,[1]ISO辞書!A:B,2,FALSE))</f>
        <v/>
      </c>
      <c r="L41" s="2" t="str">
        <f>IF(I41="","",VLOOKUP(I41,[1]ISO辞書!A:B,2,FALSE))</f>
        <v/>
      </c>
      <c r="M41" s="3" t="str">
        <f>_xlfn.TEXTJOIN(";",TRUE,J41:L41)</f>
        <v/>
      </c>
      <c r="N41" t="s">
        <v>165</v>
      </c>
      <c r="O41" t="s">
        <v>79</v>
      </c>
      <c r="P41" s="1">
        <v>46112</v>
      </c>
      <c r="Q41" t="s">
        <v>180</v>
      </c>
      <c r="R41" s="5" t="s">
        <v>185</v>
      </c>
      <c r="S41">
        <v>1</v>
      </c>
    </row>
    <row r="42" spans="1:19">
      <c r="A42" s="2" t="str">
        <f>IF(C42="","",VLOOKUP(C42,[1]ISO辞書!A:C,2,FALSE))</f>
        <v>USA</v>
      </c>
      <c r="B42" s="3" t="str">
        <f>IF(C42="","",VLOOKUP(C42,[1]ISO辞書!A:C,3,FALSE))</f>
        <v>America</v>
      </c>
      <c r="C42" t="s">
        <v>177</v>
      </c>
      <c r="D42" t="s">
        <v>186</v>
      </c>
      <c r="E42" t="s">
        <v>187</v>
      </c>
      <c r="F42" t="s">
        <v>156</v>
      </c>
      <c r="G42" t="s">
        <v>188</v>
      </c>
      <c r="J42" s="2" t="str">
        <f>IF(G42="","",VLOOKUP(G42,[1]ISO辞書!A:B,2,FALSE))</f>
        <v>IRN</v>
      </c>
      <c r="K42" s="2" t="str">
        <f>IF(H42="","",VLOOKUP(H42,[1]ISO辞書!A:B,2,FALSE))</f>
        <v/>
      </c>
      <c r="L42" s="2" t="str">
        <f>IF(I42="","",VLOOKUP(I42,[1]ISO辞書!A:B,2,FALSE))</f>
        <v/>
      </c>
      <c r="M42" s="3" t="str">
        <f>_xlfn.TEXTJOIN(";",TRUE,J42:L42)</f>
        <v>IRN</v>
      </c>
      <c r="N42" t="s">
        <v>158</v>
      </c>
      <c r="O42" t="s">
        <v>69</v>
      </c>
      <c r="P42" s="1">
        <v>46112</v>
      </c>
      <c r="Q42" t="s">
        <v>180</v>
      </c>
      <c r="R42" s="5" t="s">
        <v>189</v>
      </c>
      <c r="S42">
        <v>5</v>
      </c>
    </row>
    <row r="43" spans="1:19">
      <c r="A43" s="2" t="str">
        <f>IF(C43="","",VLOOKUP(C43,[1]ISO辞書!A:C,2,FALSE))</f>
        <v>GBR</v>
      </c>
      <c r="B43" s="3" t="str">
        <f>IF(C43="","",VLOOKUP(C43,[1]ISO辞書!A:C,3,FALSE))</f>
        <v>Britain</v>
      </c>
      <c r="C43" t="s">
        <v>193</v>
      </c>
      <c r="D43" t="s">
        <v>194</v>
      </c>
      <c r="E43" t="s">
        <v>195</v>
      </c>
      <c r="F43" t="s">
        <v>196</v>
      </c>
      <c r="G43" t="s">
        <v>197</v>
      </c>
      <c r="J43" s="2" t="str">
        <f>IF(G43="","",VLOOKUP(G43,[1]ISO辞書!A:B,2,FALSE))</f>
        <v>SYR</v>
      </c>
      <c r="K43" s="2" t="str">
        <f>IF(H43="","",VLOOKUP(H43,[1]ISO辞書!A:B,2,FALSE))</f>
        <v/>
      </c>
      <c r="L43" s="2" t="str">
        <f>IF(I43="","",VLOOKUP(I43,[1]ISO辞書!A:B,2,FALSE))</f>
        <v/>
      </c>
      <c r="M43" s="3" t="str">
        <f>_xlfn.TEXTJOIN(";",TRUE,J43:L43)</f>
        <v>SYR</v>
      </c>
      <c r="N43" t="s">
        <v>178</v>
      </c>
      <c r="O43" t="s">
        <v>53</v>
      </c>
      <c r="P43" s="1">
        <v>46112</v>
      </c>
      <c r="Q43" t="s">
        <v>159</v>
      </c>
      <c r="R43" t="s">
        <v>198</v>
      </c>
      <c r="S43">
        <v>3</v>
      </c>
    </row>
    <row r="44" spans="1:19">
      <c r="A44" s="2" t="str">
        <f>IF(C44="","",VLOOKUP(C44,[1]ISO辞書!A:C,2,FALSE))</f>
        <v>ISR</v>
      </c>
      <c r="B44" s="3" t="str">
        <f>IF(C44="","",VLOOKUP(C44,[1]ISO辞書!A:C,3,FALSE))</f>
        <v>Israel</v>
      </c>
      <c r="C44" t="s">
        <v>153</v>
      </c>
      <c r="D44" t="s">
        <v>199</v>
      </c>
      <c r="E44" t="s">
        <v>200</v>
      </c>
      <c r="F44" t="s">
        <v>156</v>
      </c>
      <c r="G44" t="s">
        <v>157</v>
      </c>
      <c r="J44" s="2" t="str">
        <f>IF(G44="","",VLOOKUP(G44,[1]ISO辞書!A:B,2,FALSE))</f>
        <v>LBN</v>
      </c>
      <c r="K44" s="2" t="str">
        <f>IF(H44="","",VLOOKUP(H44,[1]ISO辞書!A:B,2,FALSE))</f>
        <v/>
      </c>
      <c r="L44" s="2" t="str">
        <f>IF(I44="","",VLOOKUP(I44,[1]ISO辞書!A:B,2,FALSE))</f>
        <v/>
      </c>
      <c r="M44" s="3" t="str">
        <f>_xlfn.TEXTJOIN(";",TRUE,J44:L44)</f>
        <v>LBN</v>
      </c>
      <c r="N44" t="s">
        <v>158</v>
      </c>
      <c r="O44" t="s">
        <v>69</v>
      </c>
      <c r="P44" s="1">
        <v>46112</v>
      </c>
      <c r="Q44" t="s">
        <v>159</v>
      </c>
      <c r="R44" t="s">
        <v>201</v>
      </c>
      <c r="S44">
        <v>4</v>
      </c>
    </row>
    <row r="45" spans="1:19">
      <c r="A45" s="2" t="str">
        <f>IF(C45="","",VLOOKUP(C45,[1]ISO辞書!A:C,2,FALSE))</f>
        <v>ITA</v>
      </c>
      <c r="B45" s="3" t="str">
        <f>IF(C45="","",VLOOKUP(C45,[1]ISO辞書!A:C,3,FALSE))</f>
        <v>Italy</v>
      </c>
      <c r="C45" t="s">
        <v>167</v>
      </c>
      <c r="D45" t="s">
        <v>210</v>
      </c>
      <c r="E45" t="s">
        <v>211</v>
      </c>
      <c r="F45" t="s">
        <v>196</v>
      </c>
      <c r="G45" t="s">
        <v>177</v>
      </c>
      <c r="J45" s="2" t="str">
        <f>IF(G45="","",VLOOKUP(G45,[1]ISO辞書!A:B,2,FALSE))</f>
        <v>USA</v>
      </c>
      <c r="K45" s="2" t="str">
        <f>IF(H45="","",VLOOKUP(H45,[1]ISO辞書!A:B,2,FALSE))</f>
        <v/>
      </c>
      <c r="L45" s="2" t="str">
        <f>IF(I45="","",VLOOKUP(I45,[1]ISO辞書!A:B,2,FALSE))</f>
        <v/>
      </c>
      <c r="M45" s="3" t="str">
        <f>_xlfn.TEXTJOIN(";",TRUE,J45:L45)</f>
        <v>USA</v>
      </c>
      <c r="N45" t="s">
        <v>178</v>
      </c>
      <c r="O45" t="s">
        <v>53</v>
      </c>
      <c r="P45" s="1">
        <v>46112</v>
      </c>
      <c r="Q45" t="s">
        <v>159</v>
      </c>
      <c r="R45" t="s">
        <v>212</v>
      </c>
      <c r="S45">
        <v>3</v>
      </c>
    </row>
    <row r="46" spans="1:19">
      <c r="A46" s="2" t="str">
        <f>IF(C46="","",VLOOKUP(C46,[1]ISO辞書!A:C,2,FALSE))</f>
        <v>FRA</v>
      </c>
      <c r="B46" s="3" t="str">
        <f>IF(C46="","",VLOOKUP(C46,[1]ISO辞書!A:C,3,FALSE))</f>
        <v>France</v>
      </c>
      <c r="C46" t="s">
        <v>213</v>
      </c>
      <c r="D46" t="s">
        <v>214</v>
      </c>
      <c r="E46" t="s">
        <v>215</v>
      </c>
      <c r="F46" t="s">
        <v>196</v>
      </c>
      <c r="G46" t="s">
        <v>153</v>
      </c>
      <c r="H46" t="s">
        <v>177</v>
      </c>
      <c r="J46" s="2" t="str">
        <f>IF(G46="","",VLOOKUP(G46,[1]ISO辞書!A:B,2,FALSE))</f>
        <v>ISR</v>
      </c>
      <c r="K46" s="2" t="str">
        <f>IF(H46="","",VLOOKUP(H46,[1]ISO辞書!A:B,2,FALSE))</f>
        <v>USA</v>
      </c>
      <c r="L46" s="2" t="str">
        <f>IF(I46="","",VLOOKUP(I46,[1]ISO辞書!A:B,2,FALSE))</f>
        <v/>
      </c>
      <c r="M46" s="3" t="str">
        <f>_xlfn.TEXTJOIN(";",TRUE,J46:L46)</f>
        <v>ISR;USA</v>
      </c>
      <c r="N46" t="s">
        <v>178</v>
      </c>
      <c r="O46" t="s">
        <v>53</v>
      </c>
      <c r="P46" s="1">
        <v>46112</v>
      </c>
      <c r="Q46" t="s">
        <v>159</v>
      </c>
      <c r="R46" t="s">
        <v>216</v>
      </c>
      <c r="S46">
        <v>3</v>
      </c>
    </row>
    <row r="47" spans="1:19">
      <c r="A47" s="2" t="str">
        <f>IF(C47="","",VLOOKUP(C47,[1]ISO辞書!A:C,2,FALSE))</f>
        <v>THA</v>
      </c>
      <c r="B47" s="3" t="str">
        <f>IF(C47="","",VLOOKUP(C47,[1]ISO辞書!A:C,3,FALSE))</f>
        <v>Thailand</v>
      </c>
      <c r="C47" t="s">
        <v>237</v>
      </c>
      <c r="D47" t="s">
        <v>238</v>
      </c>
      <c r="E47" t="s">
        <v>239</v>
      </c>
      <c r="F47" t="s">
        <v>170</v>
      </c>
      <c r="J47" s="2" t="str">
        <f>IF(G47="","",VLOOKUP(G47,[1]ISO辞書!A:B,2,FALSE))</f>
        <v/>
      </c>
      <c r="K47" s="2" t="str">
        <f>IF(H47="","",VLOOKUP(H47,[1]ISO辞書!A:B,2,FALSE))</f>
        <v/>
      </c>
      <c r="L47" s="2" t="str">
        <f>IF(I47="","",VLOOKUP(I47,[1]ISO辞書!A:B,2,FALSE))</f>
        <v/>
      </c>
      <c r="M47" s="3" t="str">
        <f>_xlfn.TEXTJOIN(";",TRUE,J47:L47)</f>
        <v/>
      </c>
      <c r="N47" t="s">
        <v>165</v>
      </c>
      <c r="O47" t="s">
        <v>79</v>
      </c>
      <c r="P47" s="1">
        <v>46112</v>
      </c>
      <c r="Q47" t="s">
        <v>159</v>
      </c>
      <c r="R47" t="s">
        <v>240</v>
      </c>
      <c r="S47">
        <v>2</v>
      </c>
    </row>
    <row r="48" spans="1:19">
      <c r="A48" s="2" t="str">
        <f>IF(C48="","",VLOOKUP(C48,[1]ISO辞書!A:C,2,FALSE))</f>
        <v>KOR</v>
      </c>
      <c r="B48" s="3" t="str">
        <f>IF(C48="","",VLOOKUP(C48,[1]ISO辞書!A:C,3,FALSE))</f>
        <v>Korea</v>
      </c>
      <c r="C48" t="s">
        <v>241</v>
      </c>
      <c r="D48" t="s">
        <v>242</v>
      </c>
      <c r="E48" t="s">
        <v>243</v>
      </c>
      <c r="F48" t="s">
        <v>244</v>
      </c>
      <c r="J48" s="2" t="str">
        <f>IF(G48="","",VLOOKUP(G48,[1]ISO辞書!A:B,2,FALSE))</f>
        <v/>
      </c>
      <c r="K48" s="2" t="str">
        <f>IF(H48="","",VLOOKUP(H48,[1]ISO辞書!A:B,2,FALSE))</f>
        <v/>
      </c>
      <c r="L48" s="2" t="str">
        <f>IF(I48="","",VLOOKUP(I48,[1]ISO辞書!A:B,2,FALSE))</f>
        <v/>
      </c>
      <c r="M48" s="3" t="str">
        <f>_xlfn.TEXTJOIN(";",TRUE,J48:L48)</f>
        <v/>
      </c>
      <c r="N48" t="s">
        <v>245</v>
      </c>
      <c r="O48" t="s">
        <v>246</v>
      </c>
      <c r="P48" s="1">
        <v>46112</v>
      </c>
      <c r="Q48" t="s">
        <v>159</v>
      </c>
      <c r="R48" t="s">
        <v>247</v>
      </c>
      <c r="S48">
        <v>4</v>
      </c>
    </row>
    <row r="49" spans="1:13">
      <c r="A49" s="2" t="str">
        <f>IF(C49="","",VLOOKUP(C49,[1]ISO辞書!A:C,2,FALSE))</f>
        <v/>
      </c>
      <c r="B49" s="3" t="str">
        <f>IF(C49="","",VLOOKUP(C49,[1]ISO辞書!A:C,3,FALSE))</f>
        <v/>
      </c>
      <c r="J49" s="2" t="str">
        <f>IF(G49="","",VLOOKUP(G49,[1]ISO辞書!A:B,2,FALSE))</f>
        <v/>
      </c>
      <c r="K49" s="2" t="str">
        <f>IF(H49="","",VLOOKUP(H49,[1]ISO辞書!A:B,2,FALSE))</f>
        <v/>
      </c>
      <c r="L49" s="2" t="str">
        <f>IF(I49="","",VLOOKUP(I49,[1]ISO辞書!A:B,2,FALSE))</f>
        <v/>
      </c>
      <c r="M49" s="3" t="str">
        <f>_xlfn.TEXTJOIN(";",TRUE,J49:L49)</f>
        <v/>
      </c>
    </row>
    <row r="50" spans="1:13">
      <c r="A50" s="2" t="str">
        <f>IF(C50="","",VLOOKUP(C50,[1]ISO辞書!A:C,2,FALSE))</f>
        <v/>
      </c>
      <c r="B50" s="3" t="str">
        <f>IF(C50="","",VLOOKUP(C50,[1]ISO辞書!A:C,3,FALSE))</f>
        <v/>
      </c>
      <c r="J50" s="2" t="str">
        <f>IF(G50="","",VLOOKUP(G50,[1]ISO辞書!A:B,2,FALSE))</f>
        <v/>
      </c>
      <c r="K50" s="2" t="str">
        <f>IF(H50="","",VLOOKUP(H50,[1]ISO辞書!A:B,2,FALSE))</f>
        <v/>
      </c>
      <c r="L50" s="2" t="str">
        <f>IF(I50="","",VLOOKUP(I50,[1]ISO辞書!A:B,2,FALSE))</f>
        <v/>
      </c>
      <c r="M50" s="3" t="str">
        <f>_xlfn.TEXTJOIN(";",TRUE,J50:L50)</f>
        <v/>
      </c>
    </row>
    <row r="51" spans="1:13">
      <c r="A51" s="2" t="str">
        <f>IF(C51="","",VLOOKUP(C51,[1]ISO辞書!A:C,2,FALSE))</f>
        <v/>
      </c>
      <c r="B51" s="3" t="str">
        <f>IF(C51="","",VLOOKUP(C51,[1]ISO辞書!A:C,3,FALSE))</f>
        <v/>
      </c>
      <c r="J51" s="2" t="str">
        <f>IF(G51="","",VLOOKUP(G51,[1]ISO辞書!A:B,2,FALSE))</f>
        <v/>
      </c>
      <c r="K51" s="2" t="str">
        <f>IF(H51="","",VLOOKUP(H51,[1]ISO辞書!A:B,2,FALSE))</f>
        <v/>
      </c>
      <c r="L51" s="2" t="str">
        <f>IF(I51="","",VLOOKUP(I51,[1]ISO辞書!A:B,2,FALSE))</f>
        <v/>
      </c>
      <c r="M51" s="3" t="str">
        <f>_xlfn.TEXTJOIN(";",TRUE,J51:L51)</f>
        <v/>
      </c>
    </row>
    <row r="52" spans="1:13">
      <c r="A52" s="2" t="str">
        <f>IF(C52="","",VLOOKUP(C52,[1]ISO辞書!A:C,2,FALSE))</f>
        <v/>
      </c>
      <c r="B52" s="3" t="str">
        <f>IF(C52="","",VLOOKUP(C52,[1]ISO辞書!A:C,3,FALSE))</f>
        <v/>
      </c>
      <c r="J52" s="2" t="str">
        <f>IF(G52="","",VLOOKUP(G52,[1]ISO辞書!A:B,2,FALSE))</f>
        <v/>
      </c>
      <c r="K52" s="2" t="str">
        <f>IF(H52="","",VLOOKUP(H52,[1]ISO辞書!A:B,2,FALSE))</f>
        <v/>
      </c>
      <c r="L52" s="2" t="str">
        <f>IF(I52="","",VLOOKUP(I52,[1]ISO辞書!A:B,2,FALSE))</f>
        <v/>
      </c>
      <c r="M52" s="3" t="str">
        <f>_xlfn.TEXTJOIN(";",TRUE,J52:L52)</f>
        <v/>
      </c>
    </row>
    <row r="53" spans="1:13">
      <c r="A53" s="2" t="str">
        <f>IF(C53="","",VLOOKUP(C53,[1]ISO辞書!A:C,2,FALSE))</f>
        <v/>
      </c>
      <c r="B53" s="3" t="str">
        <f>IF(C53="","",VLOOKUP(C53,[1]ISO辞書!A:C,3,FALSE))</f>
        <v/>
      </c>
      <c r="J53" s="2" t="str">
        <f>IF(G53="","",VLOOKUP(G53,[1]ISO辞書!A:B,2,FALSE))</f>
        <v/>
      </c>
      <c r="K53" s="2" t="str">
        <f>IF(H53="","",VLOOKUP(H53,[1]ISO辞書!A:B,2,FALSE))</f>
        <v/>
      </c>
      <c r="L53" s="2" t="str">
        <f>IF(I53="","",VLOOKUP(I53,[1]ISO辞書!A:B,2,FALSE))</f>
        <v/>
      </c>
      <c r="M53" s="3" t="str">
        <f>_xlfn.TEXTJOIN(";",TRUE,J53:L53)</f>
        <v/>
      </c>
    </row>
    <row r="54" spans="1:13">
      <c r="A54" s="2" t="str">
        <f>IF(C54="","",VLOOKUP(C54,[1]ISO辞書!A:C,2,FALSE))</f>
        <v/>
      </c>
      <c r="B54" s="3" t="str">
        <f>IF(C54="","",VLOOKUP(C54,[1]ISO辞書!A:C,3,FALSE))</f>
        <v/>
      </c>
      <c r="J54" s="2" t="str">
        <f>IF(G54="","",VLOOKUP(G54,[1]ISO辞書!A:B,2,FALSE))</f>
        <v/>
      </c>
      <c r="K54" s="2" t="str">
        <f>IF(H54="","",VLOOKUP(H54,[1]ISO辞書!A:B,2,FALSE))</f>
        <v/>
      </c>
      <c r="L54" s="2" t="str">
        <f>IF(I54="","",VLOOKUP(I54,[1]ISO辞書!A:B,2,FALSE))</f>
        <v/>
      </c>
      <c r="M54" s="3" t="str">
        <f>_xlfn.TEXTJOIN(";",TRUE,J54:L54)</f>
        <v/>
      </c>
    </row>
    <row r="55" spans="1:13">
      <c r="A55" s="2" t="str">
        <f>IF(C55="","",VLOOKUP(C55,[1]ISO辞書!A:C,2,FALSE))</f>
        <v/>
      </c>
      <c r="B55" s="3" t="str">
        <f>IF(C55="","",VLOOKUP(C55,[1]ISO辞書!A:C,3,FALSE))</f>
        <v/>
      </c>
      <c r="J55" s="2" t="str">
        <f>IF(G55="","",VLOOKUP(G55,[1]ISO辞書!A:B,2,FALSE))</f>
        <v/>
      </c>
      <c r="K55" s="2" t="str">
        <f>IF(H55="","",VLOOKUP(H55,[1]ISO辞書!A:B,2,FALSE))</f>
        <v/>
      </c>
      <c r="L55" s="2" t="str">
        <f>IF(I55="","",VLOOKUP(I55,[1]ISO辞書!A:B,2,FALSE))</f>
        <v/>
      </c>
      <c r="M55" s="3" t="str">
        <f>_xlfn.TEXTJOIN(";",TRUE,J55:L55)</f>
        <v/>
      </c>
    </row>
    <row r="56" spans="1:13">
      <c r="A56" s="2" t="str">
        <f>IF(C56="","",VLOOKUP(C56,[1]ISO辞書!A:C,2,FALSE))</f>
        <v/>
      </c>
      <c r="B56" s="3" t="str">
        <f>IF(C56="","",VLOOKUP(C56,[1]ISO辞書!A:C,3,FALSE))</f>
        <v/>
      </c>
      <c r="J56" s="2" t="str">
        <f>IF(G56="","",VLOOKUP(G56,[1]ISO辞書!A:B,2,FALSE))</f>
        <v/>
      </c>
      <c r="K56" s="2" t="str">
        <f>IF(H56="","",VLOOKUP(H56,[1]ISO辞書!A:B,2,FALSE))</f>
        <v/>
      </c>
      <c r="L56" s="2" t="str">
        <f>IF(I56="","",VLOOKUP(I56,[1]ISO辞書!A:B,2,FALSE))</f>
        <v/>
      </c>
      <c r="M56" s="3" t="str">
        <f>_xlfn.TEXTJOIN(";",TRUE,J56:L56)</f>
        <v/>
      </c>
    </row>
    <row r="57" spans="1:13">
      <c r="A57" s="2" t="str">
        <f>IF(C57="","",VLOOKUP(C57,[1]ISO辞書!A:C,2,FALSE))</f>
        <v/>
      </c>
      <c r="B57" s="3" t="str">
        <f>IF(C57="","",VLOOKUP(C57,[1]ISO辞書!A:C,3,FALSE))</f>
        <v/>
      </c>
      <c r="J57" s="2" t="str">
        <f>IF(G57="","",VLOOKUP(G57,[1]ISO辞書!A:B,2,FALSE))</f>
        <v/>
      </c>
      <c r="K57" s="2" t="str">
        <f>IF(H57="","",VLOOKUP(H57,[1]ISO辞書!A:B,2,FALSE))</f>
        <v/>
      </c>
      <c r="L57" s="2" t="str">
        <f>IF(I57="","",VLOOKUP(I57,[1]ISO辞書!A:B,2,FALSE))</f>
        <v/>
      </c>
      <c r="M57" s="3" t="str">
        <f>_xlfn.TEXTJOIN(";",TRUE,J57:L57)</f>
        <v/>
      </c>
    </row>
    <row r="58" spans="1:13">
      <c r="A58" s="2" t="str">
        <f>IF(C58="","",VLOOKUP(C58,[1]ISO辞書!A:C,2,FALSE))</f>
        <v/>
      </c>
      <c r="B58" s="3" t="str">
        <f>IF(C58="","",VLOOKUP(C58,[1]ISO辞書!A:C,3,FALSE))</f>
        <v/>
      </c>
      <c r="J58" s="2" t="str">
        <f>IF(G58="","",VLOOKUP(G58,[1]ISO辞書!A:B,2,FALSE))</f>
        <v/>
      </c>
      <c r="K58" s="2" t="str">
        <f>IF(H58="","",VLOOKUP(H58,[1]ISO辞書!A:B,2,FALSE))</f>
        <v/>
      </c>
      <c r="L58" s="2" t="str">
        <f>IF(I58="","",VLOOKUP(I58,[1]ISO辞書!A:B,2,FALSE))</f>
        <v/>
      </c>
      <c r="M58" s="3" t="str">
        <f>_xlfn.TEXTJOIN(";",TRUE,J58:L58)</f>
        <v/>
      </c>
    </row>
    <row r="59" spans="1:13">
      <c r="A59" s="2" t="str">
        <f>IF(C59="","",VLOOKUP(C59,[1]ISO辞書!A:C,2,FALSE))</f>
        <v/>
      </c>
      <c r="B59" s="3" t="str">
        <f>IF(C59="","",VLOOKUP(C59,[1]ISO辞書!A:C,3,FALSE))</f>
        <v/>
      </c>
      <c r="J59" s="2" t="str">
        <f>IF(G59="","",VLOOKUP(G59,[1]ISO辞書!A:B,2,FALSE))</f>
        <v/>
      </c>
      <c r="K59" s="2" t="str">
        <f>IF(H59="","",VLOOKUP(H59,[1]ISO辞書!A:B,2,FALSE))</f>
        <v/>
      </c>
      <c r="L59" s="2" t="str">
        <f>IF(I59="","",VLOOKUP(I59,[1]ISO辞書!A:B,2,FALSE))</f>
        <v/>
      </c>
      <c r="M59" s="3" t="str">
        <f>_xlfn.TEXTJOIN(";",TRUE,J59:L59)</f>
        <v/>
      </c>
    </row>
    <row r="60" spans="1:13">
      <c r="A60" s="2" t="str">
        <f>IF(C60="","",VLOOKUP(C60,[1]ISO辞書!A:C,2,FALSE))</f>
        <v/>
      </c>
      <c r="J60" s="2" t="str">
        <f>IF(G60="","",VLOOKUP(G60,[1]ISO辞書!A:B,2,FALSE))</f>
        <v/>
      </c>
      <c r="K60" s="2" t="str">
        <f>IF(H60="","",VLOOKUP(H60,[1]ISO辞書!A:B,2,FALSE))</f>
        <v/>
      </c>
      <c r="L60" s="2" t="str">
        <f>IF(I60="","",VLOOKUP(I60,[1]ISO辞書!A:B,2,FALSE))</f>
        <v/>
      </c>
      <c r="M60" s="3" t="str">
        <f>_xlfn.TEXTJOIN(";",TRUE,J60:L60)</f>
        <v/>
      </c>
    </row>
    <row r="61" spans="1:13">
      <c r="A61" s="2" t="str">
        <f>IF(C61="","",VLOOKUP(C61,[1]ISO辞書!A:C,2,FALSE))</f>
        <v/>
      </c>
      <c r="J61" s="2" t="str">
        <f>IF(G61="","",VLOOKUP(G61,[1]ISO辞書!A:B,2,FALSE))</f>
        <v/>
      </c>
      <c r="K61" s="2" t="str">
        <f>IF(H61="","",VLOOKUP(H61,[1]ISO辞書!A:B,2,FALSE))</f>
        <v/>
      </c>
      <c r="L61" s="2" t="str">
        <f>IF(I61="","",VLOOKUP(I61,[1]ISO辞書!A:B,2,FALSE))</f>
        <v/>
      </c>
      <c r="M61" s="3" t="str">
        <f>_xlfn.TEXTJOIN(";",TRUE,J61:L61)</f>
        <v/>
      </c>
    </row>
    <row r="62" spans="1:13">
      <c r="A62" s="2" t="str">
        <f>IF(C62="","",VLOOKUP(C62,[1]ISO辞書!A:C,2,FALSE))</f>
        <v/>
      </c>
      <c r="J62" s="2" t="str">
        <f>IF(G62="","",VLOOKUP(G62,[1]ISO辞書!A:B,2,FALSE))</f>
        <v/>
      </c>
      <c r="K62" s="2" t="str">
        <f>IF(H62="","",VLOOKUP(H62,[1]ISO辞書!A:B,2,FALSE))</f>
        <v/>
      </c>
      <c r="L62" s="2" t="str">
        <f>IF(I62="","",VLOOKUP(I62,[1]ISO辞書!A:B,2,FALSE))</f>
        <v/>
      </c>
      <c r="M62" s="3" t="str">
        <f>_xlfn.TEXTJOIN(";",TRUE,J62:L62)</f>
        <v/>
      </c>
    </row>
    <row r="63" spans="1:13">
      <c r="A63" s="2" t="str">
        <f>IF(C63="","",VLOOKUP(C63,[1]ISO辞書!A:C,2,FALSE))</f>
        <v/>
      </c>
      <c r="J63" s="2" t="str">
        <f>IF(G63="","",VLOOKUP(G63,[1]ISO辞書!A:B,2,FALSE))</f>
        <v/>
      </c>
      <c r="K63" s="2" t="str">
        <f>IF(H63="","",VLOOKUP(H63,[1]ISO辞書!A:B,2,FALSE))</f>
        <v/>
      </c>
      <c r="L63" s="2" t="str">
        <f>IF(I63="","",VLOOKUP(I63,[1]ISO辞書!A:B,2,FALSE))</f>
        <v/>
      </c>
      <c r="M63" s="3" t="str">
        <f>_xlfn.TEXTJOIN(";",TRUE,J63:L63)</f>
        <v/>
      </c>
    </row>
    <row r="64" spans="1:13">
      <c r="J64" s="2" t="str">
        <f>IF(G64="","",VLOOKUP(G64,[1]ISO辞書!A:B,2,FALSE))</f>
        <v/>
      </c>
      <c r="K64" s="2" t="str">
        <f>IF(H64="","",VLOOKUP(H64,[1]ISO辞書!A:B,2,FALSE))</f>
        <v/>
      </c>
      <c r="L64" s="2" t="str">
        <f>IF(I64="","",VLOOKUP(I64,[1]ISO辞書!A:B,2,FALSE))</f>
        <v/>
      </c>
      <c r="M64" s="3" t="str">
        <f>_xlfn.TEXTJOIN(";",TRUE,J64:L64)</f>
        <v/>
      </c>
    </row>
    <row r="65" spans="10:13">
      <c r="J65" s="2" t="str">
        <f>IF(G65="","",VLOOKUP(G65,[1]ISO辞書!A:B,2,FALSE))</f>
        <v/>
      </c>
      <c r="K65" s="2" t="str">
        <f>IF(H65="","",VLOOKUP(H65,[1]ISO辞書!A:B,2,FALSE))</f>
        <v/>
      </c>
      <c r="L65" s="2" t="str">
        <f>IF(I65="","",VLOOKUP(I65,[1]ISO辞書!A:B,2,FALSE))</f>
        <v/>
      </c>
      <c r="M65" s="3" t="str">
        <f>_xlfn.TEXTJOIN(";",TRUE,J65:L65)</f>
        <v/>
      </c>
    </row>
    <row r="66" spans="10:13">
      <c r="J66" s="2" t="str">
        <f>IF(G66="","",VLOOKUP(G66,[1]ISO辞書!A:B,2,FALSE))</f>
        <v/>
      </c>
      <c r="K66" s="2" t="str">
        <f>IF(H66="","",VLOOKUP(H66,[1]ISO辞書!A:B,2,FALSE))</f>
        <v/>
      </c>
      <c r="L66" s="2" t="str">
        <f>IF(I66="","",VLOOKUP(I66,[1]ISO辞書!A:B,2,FALSE))</f>
        <v/>
      </c>
      <c r="M66" s="3" t="str">
        <f>_xlfn.TEXTJOIN(";",TRUE,J66:L66)</f>
        <v/>
      </c>
    </row>
    <row r="67" spans="10:13">
      <c r="J67" s="2" t="str">
        <f>IF(G67="","",VLOOKUP(G67,[1]ISO辞書!A:B,2,FALSE))</f>
        <v/>
      </c>
      <c r="K67" s="2" t="str">
        <f>IF(H67="","",VLOOKUP(H67,[1]ISO辞書!A:B,2,FALSE))</f>
        <v/>
      </c>
      <c r="L67" s="2" t="str">
        <f>IF(I67="","",VLOOKUP(I67,[1]ISO辞書!A:B,2,FALSE))</f>
        <v/>
      </c>
      <c r="M67" s="3" t="str">
        <f>_xlfn.TEXTJOIN(";",TRUE,J67:L67)</f>
        <v/>
      </c>
    </row>
    <row r="68" spans="10:13">
      <c r="J68" s="2" t="str">
        <f>IF(G68="","",VLOOKUP(G68,[1]ISO辞書!A:B,2,FALSE))</f>
        <v/>
      </c>
      <c r="K68" s="2" t="str">
        <f>IF(H68="","",VLOOKUP(H68,[1]ISO辞書!A:B,2,FALSE))</f>
        <v/>
      </c>
      <c r="L68" s="2" t="str">
        <f>IF(I68="","",VLOOKUP(I68,[1]ISO辞書!A:B,2,FALSE))</f>
        <v/>
      </c>
      <c r="M68" s="3" t="str">
        <f>_xlfn.TEXTJOIN(";",TRUE,J68:L68)</f>
        <v/>
      </c>
    </row>
    <row r="69" spans="10:13">
      <c r="J69" s="2" t="str">
        <f>IF(G69="","",VLOOKUP(G69,[1]ISO辞書!A:B,2,FALSE))</f>
        <v/>
      </c>
      <c r="K69" s="2" t="str">
        <f>IF(H69="","",VLOOKUP(H69,[1]ISO辞書!A:B,2,FALSE))</f>
        <v/>
      </c>
      <c r="L69" s="2" t="str">
        <f>IF(I69="","",VLOOKUP(I69,[1]ISO辞書!A:B,2,FALSE))</f>
        <v/>
      </c>
      <c r="M69" s="3" t="str">
        <f>_xlfn.TEXTJOIN(";",TRUE,J69:L69)</f>
        <v/>
      </c>
    </row>
  </sheetData>
  <autoFilter ref="A1:S1" xr:uid="{11153815-6F7F-462F-8165-5CE05A98A928}">
    <sortState xmlns:xlrd2="http://schemas.microsoft.com/office/spreadsheetml/2017/richdata2" ref="A2:S69">
      <sortCondition ref="P1"/>
    </sortState>
  </autoFilter>
  <phoneticPr fontId="18"/>
  <hyperlinks>
    <hyperlink ref="R7" r:id="rId1" xr:uid="{B2B6E0E5-9387-475B-9F4B-ACDF1B43A472}"/>
    <hyperlink ref="R35" r:id="rId2" xr:uid="{986F3D43-7B5A-48C0-A47B-A7E7119BCBD9}"/>
    <hyperlink ref="R41" r:id="rId3" xr:uid="{CAB2C613-E685-436C-AA62-7678804484F9}"/>
    <hyperlink ref="R42" r:id="rId4" xr:uid="{B735F61B-7109-4112-8AD5-8A0DE0EE413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events-入力用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遠藤篤</dc:creator>
  <cp:lastModifiedBy>篤 遠藤</cp:lastModifiedBy>
  <dcterms:created xsi:type="dcterms:W3CDTF">2026-03-29T02:56:09Z</dcterms:created>
  <dcterms:modified xsi:type="dcterms:W3CDTF">2026-04-01T23:21:22Z</dcterms:modified>
</cp:coreProperties>
</file>